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skripsi_carin\"/>
    </mc:Choice>
  </mc:AlternateContent>
  <xr:revisionPtr revIDLastSave="0" documentId="13_ncr:1_{F95BFF6B-D8B9-4CC8-BDF0-B2E81DB1A68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Volatility by City and Year" sheetId="1" r:id="rId1"/>
    <sheet name="Sheet1" sheetId="2" r:id="rId2"/>
  </sheets>
  <definedNames>
    <definedName name="_xlnm._FilterDatabase" localSheetId="1" hidden="1">Sheet1!$A$1:$L$104</definedName>
    <definedName name="_xlnm._FilterDatabase" localSheetId="0" hidden="1">'Volatility by City and Year'!$A$1:$K$104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 a="1"/>
  <c r="L3" i="1" s="1"/>
  <c r="L4" i="1" a="1"/>
  <c r="L4" i="1" s="1"/>
  <c r="L5" i="1" a="1"/>
  <c r="L5" i="1"/>
  <c r="L6" i="1" a="1"/>
  <c r="L6" i="1"/>
  <c r="L7" i="1" a="1"/>
  <c r="L7" i="1"/>
  <c r="L8" i="1" a="1"/>
  <c r="L8" i="1" s="1"/>
  <c r="L9" i="1" a="1"/>
  <c r="L9" i="1"/>
  <c r="L10" i="1" a="1"/>
  <c r="L10" i="1"/>
  <c r="L11" i="1" a="1"/>
  <c r="L11" i="1" s="1"/>
  <c r="L12" i="1" a="1"/>
  <c r="L12" i="1" s="1"/>
  <c r="L13" i="1" a="1"/>
  <c r="L13" i="1"/>
  <c r="L14" i="1" a="1"/>
  <c r="L14" i="1"/>
  <c r="L15" i="1" a="1"/>
  <c r="L15" i="1"/>
  <c r="L16" i="1" a="1"/>
  <c r="L16" i="1" s="1"/>
  <c r="L17" i="1" a="1"/>
  <c r="L17" i="1"/>
  <c r="L18" i="1" a="1"/>
  <c r="L18" i="1"/>
  <c r="L19" i="1" a="1"/>
  <c r="L19" i="1" s="1"/>
  <c r="L20" i="1" a="1"/>
  <c r="L20" i="1" s="1"/>
  <c r="L21" i="1" a="1"/>
  <c r="L21" i="1"/>
  <c r="L22" i="1" a="1"/>
  <c r="L22" i="1"/>
  <c r="L23" i="1" a="1"/>
  <c r="L23" i="1"/>
  <c r="L24" i="1" a="1"/>
  <c r="L24" i="1" s="1"/>
  <c r="L25" i="1" a="1"/>
  <c r="L25" i="1"/>
  <c r="L26" i="1" a="1"/>
  <c r="L26" i="1"/>
  <c r="L27" i="1" a="1"/>
  <c r="L27" i="1" s="1"/>
  <c r="L28" i="1" a="1"/>
  <c r="L28" i="1" s="1"/>
  <c r="L29" i="1" a="1"/>
  <c r="L29" i="1"/>
  <c r="L30" i="1" a="1"/>
  <c r="L30" i="1"/>
  <c r="L31" i="1" a="1"/>
  <c r="L31" i="1"/>
  <c r="L32" i="1" a="1"/>
  <c r="L32" i="1" s="1"/>
  <c r="L33" i="1" a="1"/>
  <c r="L33" i="1"/>
  <c r="L34" i="1" a="1"/>
  <c r="L34" i="1"/>
  <c r="L35" i="1" a="1"/>
  <c r="L35" i="1" s="1"/>
  <c r="L36" i="1" a="1"/>
  <c r="L36" i="1" s="1"/>
  <c r="L37" i="1" a="1"/>
  <c r="L37" i="1"/>
  <c r="L38" i="1" a="1"/>
  <c r="L38" i="1"/>
  <c r="L39" i="1" a="1"/>
  <c r="L39" i="1"/>
  <c r="L40" i="1" a="1"/>
  <c r="L40" i="1" s="1"/>
  <c r="L41" i="1" a="1"/>
  <c r="L41" i="1"/>
  <c r="L42" i="1" a="1"/>
  <c r="L42" i="1"/>
  <c r="L43" i="1" a="1"/>
  <c r="L43" i="1" s="1"/>
  <c r="L44" i="1" a="1"/>
  <c r="L44" i="1" s="1"/>
  <c r="L45" i="1" a="1"/>
  <c r="L45" i="1"/>
  <c r="L46" i="1" a="1"/>
  <c r="L46" i="1"/>
  <c r="L47" i="1" a="1"/>
  <c r="L47" i="1"/>
  <c r="L48" i="1" a="1"/>
  <c r="L48" i="1" s="1"/>
  <c r="L49" i="1" a="1"/>
  <c r="L49" i="1"/>
  <c r="L50" i="1" a="1"/>
  <c r="L50" i="1"/>
  <c r="L51" i="1" a="1"/>
  <c r="L51" i="1" s="1"/>
  <c r="L52" i="1" a="1"/>
  <c r="L52" i="1" s="1"/>
  <c r="L53" i="1" a="1"/>
  <c r="L53" i="1"/>
  <c r="L54" i="1" a="1"/>
  <c r="L54" i="1"/>
  <c r="L55" i="1" a="1"/>
  <c r="L55" i="1"/>
  <c r="L56" i="1" a="1"/>
  <c r="L56" i="1" s="1"/>
  <c r="L57" i="1" a="1"/>
  <c r="L57" i="1"/>
  <c r="L58" i="1" a="1"/>
  <c r="L58" i="1"/>
  <c r="L59" i="1" a="1"/>
  <c r="L59" i="1" s="1"/>
  <c r="L60" i="1" a="1"/>
  <c r="L60" i="1" s="1"/>
  <c r="L61" i="1" a="1"/>
  <c r="L61" i="1"/>
  <c r="L62" i="1" a="1"/>
  <c r="L62" i="1"/>
  <c r="L63" i="1" a="1"/>
  <c r="L63" i="1"/>
  <c r="L64" i="1" a="1"/>
  <c r="L64" i="1" s="1"/>
  <c r="L65" i="1" a="1"/>
  <c r="L65" i="1"/>
  <c r="L66" i="1" a="1"/>
  <c r="L66" i="1"/>
  <c r="L67" i="1" a="1"/>
  <c r="L67" i="1" s="1"/>
  <c r="L68" i="1" a="1"/>
  <c r="L68" i="1" s="1"/>
  <c r="L69" i="1" a="1"/>
  <c r="L69" i="1"/>
  <c r="L70" i="1" a="1"/>
  <c r="L70" i="1"/>
  <c r="L71" i="1" a="1"/>
  <c r="L71" i="1"/>
  <c r="L72" i="1" a="1"/>
  <c r="L72" i="1" s="1"/>
  <c r="L73" i="1" a="1"/>
  <c r="L73" i="1"/>
  <c r="L74" i="1" a="1"/>
  <c r="L74" i="1"/>
  <c r="L75" i="1" a="1"/>
  <c r="L75" i="1" s="1"/>
  <c r="L76" i="1" a="1"/>
  <c r="L76" i="1" s="1"/>
  <c r="L77" i="1" a="1"/>
  <c r="L77" i="1"/>
  <c r="L78" i="1" a="1"/>
  <c r="L78" i="1"/>
  <c r="L79" i="1" a="1"/>
  <c r="L79" i="1"/>
  <c r="L80" i="1" a="1"/>
  <c r="L80" i="1" s="1"/>
  <c r="L81" i="1" a="1"/>
  <c r="L81" i="1"/>
  <c r="L82" i="1" a="1"/>
  <c r="L82" i="1"/>
  <c r="L83" i="1" a="1"/>
  <c r="L83" i="1" s="1"/>
  <c r="L84" i="1" a="1"/>
  <c r="L84" i="1" s="1"/>
  <c r="L85" i="1" a="1"/>
  <c r="L85" i="1"/>
  <c r="L86" i="1" a="1"/>
  <c r="L86" i="1"/>
  <c r="L87" i="1" a="1"/>
  <c r="L87" i="1"/>
  <c r="L88" i="1" a="1"/>
  <c r="L88" i="1" s="1"/>
  <c r="L89" i="1" a="1"/>
  <c r="L89" i="1"/>
  <c r="L90" i="1" a="1"/>
  <c r="L90" i="1"/>
  <c r="L91" i="1" a="1"/>
  <c r="L91" i="1" s="1"/>
  <c r="L92" i="1" a="1"/>
  <c r="L92" i="1" s="1"/>
  <c r="L93" i="1" a="1"/>
  <c r="L93" i="1"/>
  <c r="L94" i="1" a="1"/>
  <c r="L94" i="1"/>
  <c r="L95" i="1" a="1"/>
  <c r="L95" i="1"/>
  <c r="L96" i="1" a="1"/>
  <c r="L96" i="1" s="1"/>
  <c r="L97" i="1" a="1"/>
  <c r="L97" i="1"/>
  <c r="L98" i="1" a="1"/>
  <c r="L98" i="1"/>
  <c r="L99" i="1" a="1"/>
  <c r="L99" i="1" s="1"/>
  <c r="L100" i="1" a="1"/>
  <c r="L100" i="1" s="1"/>
  <c r="L101" i="1" a="1"/>
  <c r="L101" i="1"/>
  <c r="L102" i="1" a="1"/>
  <c r="L102" i="1"/>
  <c r="L103" i="1" a="1"/>
  <c r="L103" i="1"/>
  <c r="L104" i="1" a="1"/>
  <c r="L104" i="1" s="1"/>
  <c r="L2" i="1" a="1"/>
  <c r="L2" i="1" s="1"/>
  <c r="K72" i="1"/>
  <c r="K48" i="1"/>
  <c r="K93" i="1"/>
  <c r="K28" i="1"/>
  <c r="K66" i="1"/>
  <c r="J62" i="1"/>
  <c r="K62" i="1" s="1"/>
  <c r="J63" i="1"/>
  <c r="K63" i="1" s="1"/>
  <c r="J14" i="1"/>
  <c r="K14" i="1" s="1"/>
  <c r="J73" i="1"/>
  <c r="K73" i="1" s="1"/>
  <c r="J104" i="1"/>
  <c r="K104" i="1" s="1"/>
  <c r="J39" i="1"/>
  <c r="K39" i="1" s="1"/>
  <c r="J71" i="1"/>
  <c r="K71" i="1" s="1"/>
  <c r="J53" i="1"/>
  <c r="K53" i="1" s="1"/>
  <c r="J88" i="1"/>
  <c r="K88" i="1" s="1"/>
  <c r="J2" i="1"/>
  <c r="K2" i="1" s="1"/>
  <c r="J74" i="1"/>
  <c r="K74" i="1" s="1"/>
  <c r="J61" i="1"/>
  <c r="K61" i="1" s="1"/>
  <c r="J49" i="1"/>
  <c r="K49" i="1" s="1"/>
  <c r="J38" i="1"/>
  <c r="K38" i="1" s="1"/>
  <c r="J86" i="1"/>
  <c r="K86" i="1" s="1"/>
  <c r="J70" i="1"/>
  <c r="K70" i="1" s="1"/>
  <c r="J55" i="1"/>
  <c r="K55" i="1" s="1"/>
  <c r="J42" i="1"/>
  <c r="K42" i="1" s="1"/>
  <c r="J31" i="1"/>
  <c r="K31" i="1" s="1"/>
  <c r="J68" i="1"/>
  <c r="K68" i="1" s="1"/>
  <c r="J89" i="1"/>
  <c r="K89" i="1" s="1"/>
  <c r="J56" i="1"/>
  <c r="K56" i="1" s="1"/>
  <c r="J80" i="1"/>
  <c r="K80" i="1" s="1"/>
  <c r="J83" i="1"/>
  <c r="K83" i="1" s="1"/>
  <c r="J35" i="1"/>
  <c r="K35" i="1" s="1"/>
  <c r="J92" i="1"/>
  <c r="K92" i="1" s="1"/>
  <c r="J87" i="1"/>
  <c r="K87" i="1" s="1"/>
  <c r="J12" i="1"/>
  <c r="K12" i="1" s="1"/>
  <c r="J99" i="1"/>
  <c r="K99" i="1" s="1"/>
  <c r="J75" i="1"/>
  <c r="K75" i="1" s="1"/>
  <c r="J72" i="1"/>
  <c r="J48" i="1"/>
  <c r="J10" i="1"/>
  <c r="K10" i="1" s="1"/>
  <c r="J103" i="1"/>
  <c r="K103" i="1" s="1"/>
  <c r="J84" i="1"/>
  <c r="K84" i="1" s="1"/>
  <c r="J9" i="1"/>
  <c r="K9" i="1" s="1"/>
  <c r="J82" i="1"/>
  <c r="K82" i="1" s="1"/>
  <c r="J78" i="1"/>
  <c r="K78" i="1" s="1"/>
  <c r="J3" i="1"/>
  <c r="K3" i="1" s="1"/>
  <c r="J30" i="1"/>
  <c r="K30" i="1" s="1"/>
  <c r="J24" i="1"/>
  <c r="K24" i="1" s="1"/>
  <c r="J100" i="1"/>
  <c r="K100" i="1" s="1"/>
  <c r="J90" i="1"/>
  <c r="K90" i="1" s="1"/>
  <c r="J33" i="1"/>
  <c r="K33" i="1" s="1"/>
  <c r="J94" i="1"/>
  <c r="K94" i="1" s="1"/>
  <c r="J95" i="1"/>
  <c r="K95" i="1" s="1"/>
  <c r="J59" i="1"/>
  <c r="K59" i="1" s="1"/>
  <c r="J22" i="1"/>
  <c r="K22" i="1" s="1"/>
  <c r="J43" i="1"/>
  <c r="K43" i="1" s="1"/>
  <c r="J20" i="1"/>
  <c r="K20" i="1" s="1"/>
  <c r="J60" i="1"/>
  <c r="K60" i="1" s="1"/>
  <c r="J27" i="1"/>
  <c r="K27" i="1" s="1"/>
  <c r="J81" i="1"/>
  <c r="K81" i="1" s="1"/>
  <c r="J6" i="1"/>
  <c r="K6" i="1" s="1"/>
  <c r="J32" i="1"/>
  <c r="K32" i="1" s="1"/>
  <c r="J13" i="1"/>
  <c r="K13" i="1" s="1"/>
  <c r="J47" i="1"/>
  <c r="K47" i="1" s="1"/>
  <c r="J5" i="1"/>
  <c r="K5" i="1" s="1"/>
  <c r="J97" i="1"/>
  <c r="K97" i="1" s="1"/>
  <c r="J57" i="1"/>
  <c r="K57" i="1" s="1"/>
  <c r="J23" i="1"/>
  <c r="K23" i="1" s="1"/>
  <c r="J102" i="1"/>
  <c r="K102" i="1" s="1"/>
  <c r="J93" i="1"/>
  <c r="J28" i="1"/>
  <c r="J15" i="1"/>
  <c r="K15" i="1" s="1"/>
  <c r="J7" i="1"/>
  <c r="K7" i="1" s="1"/>
  <c r="J29" i="1"/>
  <c r="K29" i="1" s="1"/>
  <c r="J25" i="1"/>
  <c r="K25" i="1" s="1"/>
  <c r="J58" i="1"/>
  <c r="K58" i="1" s="1"/>
  <c r="J64" i="1"/>
  <c r="K64" i="1" s="1"/>
  <c r="J77" i="1"/>
  <c r="K77" i="1" s="1"/>
  <c r="J4" i="1"/>
  <c r="K4" i="1" s="1"/>
  <c r="J44" i="1"/>
  <c r="K44" i="1" s="1"/>
  <c r="J66" i="1"/>
  <c r="J18" i="1"/>
  <c r="K18" i="1" s="1"/>
  <c r="J19" i="1"/>
  <c r="K19" i="1" s="1"/>
  <c r="J69" i="1"/>
  <c r="K69" i="1" s="1"/>
  <c r="J37" i="1"/>
  <c r="K37" i="1" s="1"/>
  <c r="J96" i="1"/>
  <c r="K96" i="1" s="1"/>
  <c r="J54" i="1"/>
  <c r="K54" i="1" s="1"/>
  <c r="J8" i="1"/>
  <c r="K8" i="1" s="1"/>
  <c r="J36" i="1"/>
  <c r="K36" i="1" s="1"/>
  <c r="J91" i="1"/>
  <c r="K91" i="1" s="1"/>
  <c r="J76" i="1"/>
  <c r="K76" i="1" s="1"/>
  <c r="J21" i="1"/>
  <c r="K21" i="1" s="1"/>
  <c r="J41" i="1"/>
  <c r="K41" i="1" s="1"/>
  <c r="J85" i="1"/>
  <c r="K85" i="1" s="1"/>
  <c r="J45" i="1"/>
  <c r="K45" i="1" s="1"/>
  <c r="J46" i="1"/>
  <c r="K46" i="1" s="1"/>
  <c r="J52" i="1"/>
  <c r="K52" i="1" s="1"/>
  <c r="J67" i="1"/>
  <c r="K67" i="1" s="1"/>
  <c r="J50" i="1"/>
  <c r="K50" i="1" s="1"/>
  <c r="J51" i="1"/>
  <c r="K51" i="1" s="1"/>
  <c r="J17" i="1"/>
  <c r="K17" i="1" s="1"/>
  <c r="J65" i="1"/>
  <c r="K65" i="1" s="1"/>
  <c r="J79" i="1"/>
  <c r="K79" i="1" s="1"/>
  <c r="J98" i="1"/>
  <c r="K98" i="1" s="1"/>
  <c r="J11" i="1"/>
  <c r="K11" i="1" s="1"/>
  <c r="J16" i="1"/>
  <c r="K16" i="1" s="1"/>
  <c r="J40" i="1"/>
  <c r="K40" i="1" s="1"/>
  <c r="J26" i="1"/>
  <c r="K26" i="1" s="1"/>
  <c r="J101" i="1"/>
  <c r="K101" i="1" s="1"/>
  <c r="J34" i="1"/>
  <c r="K3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<sst xmlns="http://schemas.openxmlformats.org/spreadsheetml/2006/main" count="320" uniqueCount="111">
  <si>
    <t>Full Period (2020-01-01 to 2024-07-01)</t>
  </si>
  <si>
    <t>Test Period (2024-07-01 to 2025-07-01)</t>
  </si>
  <si>
    <t>Kota Maluku</t>
  </si>
  <si>
    <t>Kota Balikpapan</t>
  </si>
  <si>
    <t>Kota Banda Aceh</t>
  </si>
  <si>
    <t>Kota Bandar Lampung</t>
  </si>
  <si>
    <t>Kota Bandung</t>
  </si>
  <si>
    <t>Kota Banggai</t>
  </si>
  <si>
    <t>Kota Banjarmasin</t>
  </si>
  <si>
    <t>Kab. Banyumas</t>
  </si>
  <si>
    <t>Kab. Banyuwangi</t>
  </si>
  <si>
    <t>Kota Batam</t>
  </si>
  <si>
    <t>Kota Bau - Bau</t>
  </si>
  <si>
    <t>Kota Bekasi</t>
  </si>
  <si>
    <t>Kota Bengkulu</t>
  </si>
  <si>
    <t>Kota Bima</t>
  </si>
  <si>
    <t>Kota Blitar</t>
  </si>
  <si>
    <t>Kota Bogor</t>
  </si>
  <si>
    <t>Kota Bontang</t>
  </si>
  <si>
    <t>Kab. Boyolali</t>
  </si>
  <si>
    <t>Kab. Bulukomba</t>
  </si>
  <si>
    <t>Kab. Bulungan</t>
  </si>
  <si>
    <t>Kab. Bungo</t>
  </si>
  <si>
    <t>Kab. Cilacap</t>
  </si>
  <si>
    <t>Kota Cilegon</t>
  </si>
  <si>
    <t>Kota Cirebon</t>
  </si>
  <si>
    <t>Kab. Cirebon</t>
  </si>
  <si>
    <t>Kota Denpasar</t>
  </si>
  <si>
    <t>Kota Depok</t>
  </si>
  <si>
    <t>Kota Dumai</t>
  </si>
  <si>
    <t>Kota Gorontalo</t>
  </si>
  <si>
    <t>Kab. Gorontalo</t>
  </si>
  <si>
    <t>Kota Gunung Sitoli</t>
  </si>
  <si>
    <t>Kota Jakarta Pusat</t>
  </si>
  <si>
    <t>Kota Jambi</t>
  </si>
  <si>
    <t>Kota Jayapura</t>
  </si>
  <si>
    <t>Kab. Jayawijaya</t>
  </si>
  <si>
    <t>Kab. Jember</t>
  </si>
  <si>
    <t>Kab. Sintang</t>
  </si>
  <si>
    <t>Kab. Karanganyar</t>
  </si>
  <si>
    <t>Kota Kediri</t>
  </si>
  <si>
    <t>Kota Kendari</t>
  </si>
  <si>
    <t>Kab.Klaten</t>
  </si>
  <si>
    <t>Kab Kotabaru</t>
  </si>
  <si>
    <t>Kotamobagu</t>
  </si>
  <si>
    <t>Kab. Kudus</t>
  </si>
  <si>
    <t>Kota Kupang</t>
  </si>
  <si>
    <t>Kota Lhokseumawe</t>
  </si>
  <si>
    <t>Kab. Lombok Timur</t>
  </si>
  <si>
    <t>Kota Lubuk Linggau</t>
  </si>
  <si>
    <t>Kota Madiun</t>
  </si>
  <si>
    <t>Kab. Majene</t>
  </si>
  <si>
    <t>Kota Makassar</t>
  </si>
  <si>
    <t>Kota Malang</t>
  </si>
  <si>
    <t>Kota Mamuju</t>
  </si>
  <si>
    <t>Kota Manado</t>
  </si>
  <si>
    <t>Kab. Manokwari</t>
  </si>
  <si>
    <t>Kota Mataram</t>
  </si>
  <si>
    <t>Kota Maumere</t>
  </si>
  <si>
    <t>Kota Medan</t>
  </si>
  <si>
    <t>Kab. Merauke</t>
  </si>
  <si>
    <t>Kota Metro</t>
  </si>
  <si>
    <t>Kota Meulaboh</t>
  </si>
  <si>
    <t>Kab. Mimika</t>
  </si>
  <si>
    <t>Kab. Nabire</t>
  </si>
  <si>
    <t>Kota Padang</t>
  </si>
  <si>
    <t>Kota Padang Sidempuan</t>
  </si>
  <si>
    <t>Kota Palangkaraya</t>
  </si>
  <si>
    <t>Kota Palembang</t>
  </si>
  <si>
    <t>Kota Palu</t>
  </si>
  <si>
    <t>Kota Pangkalpinang</t>
  </si>
  <si>
    <t>Kota Pare -Pare</t>
  </si>
  <si>
    <t>Kota Pekanbaru</t>
  </si>
  <si>
    <t>Kota Pematang Siantar</t>
  </si>
  <si>
    <t>Kab. Polewali Mandar</t>
  </si>
  <si>
    <t>Kota Pontianak</t>
  </si>
  <si>
    <t>Kota Probolinggo</t>
  </si>
  <si>
    <t>Kota Samarinda</t>
  </si>
  <si>
    <t>Kota Sampit</t>
  </si>
  <si>
    <t>Kota Semarang</t>
  </si>
  <si>
    <t>Kota Serang</t>
  </si>
  <si>
    <t>Kota Sibolga</t>
  </si>
  <si>
    <t>Kota Singkawang</t>
  </si>
  <si>
    <t>Kota Sorong</t>
  </si>
  <si>
    <t>Kab Sragen</t>
  </si>
  <si>
    <t>Kota Sukabumi</t>
  </si>
  <si>
    <t>Kab. Sukoharjo</t>
  </si>
  <si>
    <t>Kab. Sumba Timur</t>
  </si>
  <si>
    <t>Kab. Sumbawa</t>
  </si>
  <si>
    <t>Kab. Sumenep</t>
  </si>
  <si>
    <t>Kota Surabaya</t>
  </si>
  <si>
    <t>Kota Surakarta (Solo)</t>
  </si>
  <si>
    <t>Kota Tanggerang</t>
  </si>
  <si>
    <t>Kota Tanjung</t>
  </si>
  <si>
    <t>Kota Tanjung Pandan</t>
  </si>
  <si>
    <t>Kota Tanjung Pinang</t>
  </si>
  <si>
    <t>Kota Tarakan</t>
  </si>
  <si>
    <t>Kota Tasikmalaya</t>
  </si>
  <si>
    <t>Kota Sumenep</t>
  </si>
  <si>
    <t>Kota Tembilahan</t>
  </si>
  <si>
    <t>Kota Ternate</t>
  </si>
  <si>
    <t>Kota Tual</t>
  </si>
  <si>
    <t>Kota Watampone</t>
  </si>
  <si>
    <t>Kab. Wonogiri</t>
  </si>
  <si>
    <t>Kota Yogyakarta</t>
  </si>
  <si>
    <t>selisih</t>
  </si>
  <si>
    <t>abs</t>
  </si>
  <si>
    <t>Nama kota</t>
  </si>
  <si>
    <t>Kota</t>
  </si>
  <si>
    <t>R2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</si>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</sst>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2"/>
  <sheetViews>
    <sheetView topLeftCell="I95" workbookViewId="0">
      <selection activeCell="L104" sqref="A1:L104"/>
    </sheetView>
  </sheetViews>
  <sheetFormatPr defaultRowHeight="14.5" x14ac:dyDescent="0.35"/>
  <cols>
    <col min="1" max="1" width="32.6328125" bestFit="1" customWidth="1"/>
    <col min="8" max="8" width="33.08984375" bestFit="1" customWidth="1"/>
    <col min="9" max="9" width="33.81640625" bestFit="1" customWidth="1"/>
    <col min="14" max="14" width="21.1796875" bestFit="1" customWidth="1"/>
  </cols>
  <sheetData>
    <row r="1" spans="1:15" ht="15" thickBot="1" x14ac:dyDescent="0.4">
      <c r="A1" s="3" t="s">
        <v>107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 t="s">
        <v>0</v>
      </c>
      <c r="I1" s="1" t="s">
        <v>1</v>
      </c>
      <c r="J1" s="3" t="s">
        <v>105</v>
      </c>
      <c r="K1" s="1" t="s">
        <v>106</v>
      </c>
      <c r="L1" s="1" t="s">
        <v>109</v>
      </c>
      <c r="N1" s="6" t="s">
        <v>108</v>
      </c>
      <c r="O1" s="7" t="s">
        <v>109</v>
      </c>
    </row>
    <row r="2" spans="1:15" ht="15" thickBot="1" x14ac:dyDescent="0.4">
      <c r="A2" s="1" t="s">
        <v>12</v>
      </c>
      <c r="B2" s="3">
        <v>1.59</v>
      </c>
      <c r="C2" s="3">
        <v>8.3800000000000008</v>
      </c>
      <c r="D2" s="3">
        <v>33.08</v>
      </c>
      <c r="E2" s="3">
        <v>1.69</v>
      </c>
      <c r="F2" s="3">
        <v>1.64</v>
      </c>
      <c r="G2" s="3">
        <v>3.79</v>
      </c>
      <c r="H2" s="3">
        <v>34.21</v>
      </c>
      <c r="I2" s="3">
        <v>4.83</v>
      </c>
      <c r="J2" s="3">
        <f t="shared" ref="J2:J33" si="0">(H2-I2)</f>
        <v>29.380000000000003</v>
      </c>
      <c r="K2" s="3">
        <f t="shared" ref="K2:K33" si="1">ABS(J2)</f>
        <v>29.380000000000003</v>
      </c>
      <c r="L2" s="2" cm="1">
        <f t="array" ref="L2">VLOOKUP(A2,$N$1:$O$100,{2},0)</f>
        <v>0.84630000000000005</v>
      </c>
      <c r="N2" s="8" t="s">
        <v>17</v>
      </c>
      <c r="O2" s="9">
        <v>0.94350000000000001</v>
      </c>
    </row>
    <row r="3" spans="1:15" ht="15" thickBot="1" x14ac:dyDescent="0.4">
      <c r="A3" s="1" t="s">
        <v>41</v>
      </c>
      <c r="B3" s="3">
        <v>1.66</v>
      </c>
      <c r="C3" s="3">
        <v>8.27</v>
      </c>
      <c r="D3" s="3">
        <v>30.24</v>
      </c>
      <c r="E3" s="3">
        <v>1.1000000000000001</v>
      </c>
      <c r="F3" s="3">
        <v>1.35</v>
      </c>
      <c r="G3" s="3">
        <v>0.67</v>
      </c>
      <c r="H3" s="3">
        <v>28.92</v>
      </c>
      <c r="I3" s="3">
        <v>2.5</v>
      </c>
      <c r="J3" s="3">
        <f t="shared" si="0"/>
        <v>26.42</v>
      </c>
      <c r="K3" s="3">
        <f t="shared" si="1"/>
        <v>26.42</v>
      </c>
      <c r="L3" s="2" cm="1">
        <f t="array" ref="L3">VLOOKUP(A3,$N$1:$O$100,{2},0)</f>
        <v>0.88859999999999995</v>
      </c>
      <c r="N3" s="8" t="s">
        <v>89</v>
      </c>
      <c r="O3" s="9">
        <v>0.9425</v>
      </c>
    </row>
    <row r="4" spans="1:15" ht="15" thickBot="1" x14ac:dyDescent="0.4">
      <c r="A4" s="1" t="s">
        <v>74</v>
      </c>
      <c r="B4" s="3">
        <v>1.44</v>
      </c>
      <c r="C4" s="3">
        <v>6.15</v>
      </c>
      <c r="D4" s="3">
        <v>10.73</v>
      </c>
      <c r="E4" s="3">
        <v>0.22</v>
      </c>
      <c r="F4" s="3">
        <v>1.43</v>
      </c>
      <c r="G4" s="3">
        <v>0</v>
      </c>
      <c r="H4" s="3">
        <v>24.01</v>
      </c>
      <c r="I4" s="3">
        <v>0</v>
      </c>
      <c r="J4" s="3">
        <f t="shared" si="0"/>
        <v>24.01</v>
      </c>
      <c r="K4" s="3">
        <f t="shared" si="1"/>
        <v>24.01</v>
      </c>
      <c r="L4" s="2" cm="1">
        <f t="array" ref="L4">VLOOKUP(A4,$N$1:$O$100,{2},0)</f>
        <v>0</v>
      </c>
      <c r="N4" s="8" t="s">
        <v>61</v>
      </c>
      <c r="O4" s="9">
        <v>0.94240000000000002</v>
      </c>
    </row>
    <row r="5" spans="1:15" ht="15" thickBot="1" x14ac:dyDescent="0.4">
      <c r="A5" s="1" t="s">
        <v>60</v>
      </c>
      <c r="B5" s="3">
        <v>0.68</v>
      </c>
      <c r="C5" s="3">
        <v>7.86</v>
      </c>
      <c r="D5" s="3">
        <v>15</v>
      </c>
      <c r="E5" s="3">
        <v>1.56</v>
      </c>
      <c r="F5" s="3">
        <v>1.47</v>
      </c>
      <c r="G5" s="3">
        <v>1.94</v>
      </c>
      <c r="H5" s="3">
        <v>22.61</v>
      </c>
      <c r="I5" s="3">
        <v>2.2799999999999998</v>
      </c>
      <c r="J5" s="3">
        <f t="shared" si="0"/>
        <v>20.329999999999998</v>
      </c>
      <c r="K5" s="3">
        <f t="shared" si="1"/>
        <v>20.329999999999998</v>
      </c>
      <c r="L5" s="2" cm="1">
        <f t="array" ref="L5">VLOOKUP(A5,$N$1:$O$100,{2},0)</f>
        <v>0.92459999999999998</v>
      </c>
      <c r="N5" s="8" t="s">
        <v>104</v>
      </c>
      <c r="O5" s="9">
        <v>0.94179999999999997</v>
      </c>
    </row>
    <row r="6" spans="1:15" ht="15" thickBot="1" x14ac:dyDescent="0.4">
      <c r="A6" s="1" t="s">
        <v>56</v>
      </c>
      <c r="B6" s="3">
        <v>1.19</v>
      </c>
      <c r="C6" s="3">
        <v>8.8800000000000008</v>
      </c>
      <c r="D6" s="3">
        <v>14.9</v>
      </c>
      <c r="E6" s="3">
        <v>1.43</v>
      </c>
      <c r="F6" s="3">
        <v>4.96</v>
      </c>
      <c r="G6" s="3">
        <v>1.98</v>
      </c>
      <c r="H6" s="3">
        <v>23.69</v>
      </c>
      <c r="I6" s="3">
        <v>3.46</v>
      </c>
      <c r="J6" s="3">
        <f t="shared" si="0"/>
        <v>20.23</v>
      </c>
      <c r="K6" s="3">
        <f t="shared" si="1"/>
        <v>20.23</v>
      </c>
      <c r="L6" s="2" cm="1">
        <f t="array" ref="L6">VLOOKUP(A6,$N$1:$O$100,{2},0)</f>
        <v>0.71730000000000005</v>
      </c>
      <c r="N6" s="8" t="s">
        <v>44</v>
      </c>
      <c r="O6" s="9">
        <v>0.94179999999999997</v>
      </c>
    </row>
    <row r="7" spans="1:15" ht="15" thickBot="1" x14ac:dyDescent="0.4">
      <c r="A7" s="1" t="s">
        <v>68</v>
      </c>
      <c r="B7" s="3">
        <v>1.19</v>
      </c>
      <c r="C7" s="3">
        <v>8.8800000000000008</v>
      </c>
      <c r="D7" s="3">
        <v>14.9</v>
      </c>
      <c r="E7" s="3">
        <v>1.43</v>
      </c>
      <c r="F7" s="3">
        <v>4.96</v>
      </c>
      <c r="G7" s="3">
        <v>5.87</v>
      </c>
      <c r="H7" s="3">
        <v>23.69</v>
      </c>
      <c r="I7" s="3">
        <v>3.46</v>
      </c>
      <c r="J7" s="3">
        <f t="shared" si="0"/>
        <v>20.23</v>
      </c>
      <c r="K7" s="3">
        <f t="shared" si="1"/>
        <v>20.23</v>
      </c>
      <c r="L7" s="2" cm="1">
        <f t="array" ref="L7">VLOOKUP(A7,$N$1:$O$100,{2},0)</f>
        <v>0.71730000000000005</v>
      </c>
      <c r="N7" s="8" t="s">
        <v>28</v>
      </c>
      <c r="O7" s="9">
        <v>0.94169999999999998</v>
      </c>
    </row>
    <row r="8" spans="1:15" ht="15" thickBot="1" x14ac:dyDescent="0.4">
      <c r="A8" s="1" t="s">
        <v>83</v>
      </c>
      <c r="B8" s="3">
        <v>17.100000000000001</v>
      </c>
      <c r="C8" s="3">
        <v>9.83</v>
      </c>
      <c r="D8" s="3">
        <v>12.29</v>
      </c>
      <c r="E8" s="3">
        <v>5.09</v>
      </c>
      <c r="F8" s="3">
        <v>1.61</v>
      </c>
      <c r="G8" s="3">
        <v>2.77</v>
      </c>
      <c r="H8" s="3">
        <v>23.37</v>
      </c>
      <c r="I8" s="3">
        <v>3.15</v>
      </c>
      <c r="J8" s="3">
        <f t="shared" si="0"/>
        <v>20.220000000000002</v>
      </c>
      <c r="K8" s="3">
        <f t="shared" si="1"/>
        <v>20.220000000000002</v>
      </c>
      <c r="L8" s="2" cm="1">
        <f t="array" ref="L8">VLOOKUP(A8,$N$1:$O$100,{2},0)</f>
        <v>0.87519999999999998</v>
      </c>
      <c r="N8" s="8" t="s">
        <v>90</v>
      </c>
      <c r="O8" s="9">
        <v>0.94140000000000001</v>
      </c>
    </row>
    <row r="9" spans="1:15" ht="15" thickBot="1" x14ac:dyDescent="0.4">
      <c r="A9" s="1" t="s">
        <v>38</v>
      </c>
      <c r="B9" s="3">
        <v>0</v>
      </c>
      <c r="C9" s="3">
        <v>11.89</v>
      </c>
      <c r="D9" s="3">
        <v>10.38</v>
      </c>
      <c r="E9" s="3">
        <v>2.67</v>
      </c>
      <c r="F9" s="3">
        <v>1.19</v>
      </c>
      <c r="G9" s="3">
        <v>0.87</v>
      </c>
      <c r="H9" s="3">
        <v>19.739999999999998</v>
      </c>
      <c r="I9" s="3">
        <v>0.87</v>
      </c>
      <c r="J9" s="3">
        <f t="shared" si="0"/>
        <v>18.869999999999997</v>
      </c>
      <c r="K9" s="3">
        <f t="shared" si="1"/>
        <v>18.869999999999997</v>
      </c>
      <c r="L9" s="2" cm="1">
        <f t="array" ref="L9">VLOOKUP(A9,$N$1:$O$100,{2},0)</f>
        <v>0.83879999999999999</v>
      </c>
      <c r="N9" s="8" t="s">
        <v>13</v>
      </c>
      <c r="O9" s="9">
        <v>0.94130000000000003</v>
      </c>
    </row>
    <row r="10" spans="1:15" ht="15" thickBot="1" x14ac:dyDescent="0.4">
      <c r="A10" s="1" t="s">
        <v>35</v>
      </c>
      <c r="B10" s="3">
        <v>1.43</v>
      </c>
      <c r="C10" s="3">
        <v>7.33</v>
      </c>
      <c r="D10" s="3">
        <v>18.190000000000001</v>
      </c>
      <c r="E10" s="3">
        <v>0.82</v>
      </c>
      <c r="F10" s="3">
        <v>0.9</v>
      </c>
      <c r="G10" s="3">
        <v>2.21</v>
      </c>
      <c r="H10" s="3">
        <v>21.43</v>
      </c>
      <c r="I10" s="3">
        <v>3.13</v>
      </c>
      <c r="J10" s="3">
        <f t="shared" si="0"/>
        <v>18.3</v>
      </c>
      <c r="K10" s="3">
        <f t="shared" si="1"/>
        <v>18.3</v>
      </c>
      <c r="L10" s="2" cm="1">
        <f t="array" ref="L10">VLOOKUP(A10,$N$1:$O$100,{2},0)</f>
        <v>0.82230000000000003</v>
      </c>
      <c r="N10" s="8" t="s">
        <v>15</v>
      </c>
      <c r="O10" s="9">
        <v>0.94089999999999996</v>
      </c>
    </row>
    <row r="11" spans="1:15" ht="15" thickBot="1" x14ac:dyDescent="0.4">
      <c r="A11" s="1" t="s">
        <v>100</v>
      </c>
      <c r="B11" s="3">
        <v>3.12</v>
      </c>
      <c r="C11" s="3">
        <v>3.74</v>
      </c>
      <c r="D11" s="3">
        <v>9.39</v>
      </c>
      <c r="E11" s="3">
        <v>2.0299999999999998</v>
      </c>
      <c r="F11" s="3">
        <v>0.95</v>
      </c>
      <c r="G11" s="3">
        <v>1.42</v>
      </c>
      <c r="H11" s="3">
        <v>20.03</v>
      </c>
      <c r="I11" s="3">
        <v>1.98</v>
      </c>
      <c r="J11" s="3">
        <f t="shared" si="0"/>
        <v>18.05</v>
      </c>
      <c r="K11" s="3">
        <f t="shared" si="1"/>
        <v>18.05</v>
      </c>
      <c r="L11" s="2" cm="1">
        <f t="array" ref="L11">VLOOKUP(A11,$N$1:$O$100,{2},0)</f>
        <v>0.93579999999999997</v>
      </c>
      <c r="N11" s="8" t="s">
        <v>75</v>
      </c>
      <c r="O11" s="9">
        <v>0.94040000000000001</v>
      </c>
    </row>
    <row r="12" spans="1:15" ht="15" thickBot="1" x14ac:dyDescent="0.4">
      <c r="A12" s="1" t="s">
        <v>30</v>
      </c>
      <c r="B12" s="3">
        <v>5.52</v>
      </c>
      <c r="C12" s="3">
        <v>13.75</v>
      </c>
      <c r="D12" s="3">
        <v>12.67</v>
      </c>
      <c r="E12" s="3">
        <v>4.0599999999999996</v>
      </c>
      <c r="F12" s="3">
        <v>2.99</v>
      </c>
      <c r="G12" s="3">
        <v>1.17</v>
      </c>
      <c r="H12" s="3">
        <v>20.66</v>
      </c>
      <c r="I12" s="3">
        <v>3.44</v>
      </c>
      <c r="J12" s="3">
        <f t="shared" si="0"/>
        <v>17.22</v>
      </c>
      <c r="K12" s="3">
        <f t="shared" si="1"/>
        <v>17.22</v>
      </c>
      <c r="L12" s="2" cm="1">
        <f t="array" ref="L12">VLOOKUP(A12,$N$1:$O$100,{2},0)</f>
        <v>0.92830000000000001</v>
      </c>
      <c r="N12" s="8" t="s">
        <v>33</v>
      </c>
      <c r="O12" s="9">
        <v>0.94030000000000002</v>
      </c>
    </row>
    <row r="13" spans="1:15" ht="15" thickBot="1" x14ac:dyDescent="0.4">
      <c r="A13" s="1" t="s">
        <v>58</v>
      </c>
      <c r="B13" s="3">
        <v>1.73</v>
      </c>
      <c r="C13" s="3">
        <v>7.33</v>
      </c>
      <c r="D13" s="3">
        <v>9.3800000000000008</v>
      </c>
      <c r="E13" s="3">
        <v>1.06</v>
      </c>
      <c r="F13" s="3">
        <v>1.5</v>
      </c>
      <c r="G13" s="3">
        <v>2.4700000000000002</v>
      </c>
      <c r="H13" s="3">
        <v>18.2</v>
      </c>
      <c r="I13" s="3">
        <v>1.69</v>
      </c>
      <c r="J13" s="3">
        <f t="shared" si="0"/>
        <v>16.509999999999998</v>
      </c>
      <c r="K13" s="3">
        <f t="shared" si="1"/>
        <v>16.509999999999998</v>
      </c>
      <c r="L13" s="2" cm="1">
        <f t="array" ref="L13">VLOOKUP(A13,$N$1:$O$100,{2},0)</f>
        <v>0.90490000000000004</v>
      </c>
      <c r="N13" s="8" t="s">
        <v>2</v>
      </c>
      <c r="O13" s="9">
        <v>0.93920000000000003</v>
      </c>
    </row>
    <row r="14" spans="1:15" ht="15" thickBot="1" x14ac:dyDescent="0.4">
      <c r="A14" s="1" t="s">
        <v>5</v>
      </c>
      <c r="B14" s="3">
        <v>0.21</v>
      </c>
      <c r="C14" s="3">
        <v>0.67</v>
      </c>
      <c r="D14" s="3">
        <v>0.93</v>
      </c>
      <c r="E14" s="3">
        <v>7.0000000000000007E-2</v>
      </c>
      <c r="F14" s="3">
        <v>0.35</v>
      </c>
      <c r="G14" s="3">
        <v>15.66</v>
      </c>
      <c r="H14" s="3">
        <v>1.06</v>
      </c>
      <c r="I14" s="3">
        <v>17.21</v>
      </c>
      <c r="J14" s="3">
        <f t="shared" si="0"/>
        <v>-16.150000000000002</v>
      </c>
      <c r="K14" s="3">
        <f t="shared" si="1"/>
        <v>16.150000000000002</v>
      </c>
      <c r="L14" s="2" cm="1">
        <f t="array" ref="L14">VLOOKUP(A14,$N$1:$O$100,{2},0)</f>
        <v>-0.20039999999999999</v>
      </c>
      <c r="N14" s="10" t="s">
        <v>65</v>
      </c>
      <c r="O14" s="11">
        <v>0.93879999999999997</v>
      </c>
    </row>
    <row r="15" spans="1:15" ht="15" thickBot="1" x14ac:dyDescent="0.4">
      <c r="A15" s="1" t="s">
        <v>67</v>
      </c>
      <c r="B15" s="3">
        <v>2.02</v>
      </c>
      <c r="C15" s="3">
        <v>9.51</v>
      </c>
      <c r="D15" s="3">
        <v>9.75</v>
      </c>
      <c r="E15" s="3">
        <v>2.1</v>
      </c>
      <c r="F15" s="3">
        <v>1.18</v>
      </c>
      <c r="G15" s="3">
        <v>1.53</v>
      </c>
      <c r="H15" s="3">
        <v>18.5</v>
      </c>
      <c r="I15" s="3">
        <v>2.4300000000000002</v>
      </c>
      <c r="J15" s="3">
        <f t="shared" si="0"/>
        <v>16.07</v>
      </c>
      <c r="K15" s="3">
        <f t="shared" si="1"/>
        <v>16.07</v>
      </c>
      <c r="L15" s="2" cm="1">
        <f t="array" ref="L15">VLOOKUP(A15,$N$1:$O$100,{2},0)</f>
        <v>0.91810000000000003</v>
      </c>
      <c r="N15" s="8" t="s">
        <v>82</v>
      </c>
      <c r="O15" s="9">
        <v>0.9385</v>
      </c>
    </row>
    <row r="16" spans="1:15" ht="15" thickBot="1" x14ac:dyDescent="0.4">
      <c r="A16" s="1" t="s">
        <v>101</v>
      </c>
      <c r="B16" s="3">
        <v>0.48</v>
      </c>
      <c r="C16" s="3">
        <v>9.2100000000000009</v>
      </c>
      <c r="D16" s="3">
        <v>12.66</v>
      </c>
      <c r="E16" s="3">
        <v>1.75</v>
      </c>
      <c r="F16" s="3">
        <v>0.75</v>
      </c>
      <c r="G16" s="3">
        <v>2.6</v>
      </c>
      <c r="H16" s="3">
        <v>19.39</v>
      </c>
      <c r="I16" s="3">
        <v>3.47</v>
      </c>
      <c r="J16" s="3">
        <f t="shared" si="0"/>
        <v>15.92</v>
      </c>
      <c r="K16" s="3">
        <f t="shared" si="1"/>
        <v>15.92</v>
      </c>
      <c r="L16" s="2" cm="1">
        <f t="array" ref="L16">VLOOKUP(A16,$N$1:$O$100,{2},0)</f>
        <v>0.92830000000000001</v>
      </c>
      <c r="N16" s="8" t="s">
        <v>47</v>
      </c>
      <c r="O16" s="9">
        <v>0.93769999999999998</v>
      </c>
    </row>
    <row r="17" spans="1:15" ht="15" thickBot="1" x14ac:dyDescent="0.4">
      <c r="A17" s="1" t="s">
        <v>96</v>
      </c>
      <c r="B17" s="3">
        <v>2.15</v>
      </c>
      <c r="C17" s="3">
        <v>8.44</v>
      </c>
      <c r="D17" s="3">
        <v>7.74</v>
      </c>
      <c r="E17" s="3">
        <v>1.1000000000000001</v>
      </c>
      <c r="F17" s="3">
        <v>2.2200000000000002</v>
      </c>
      <c r="G17" s="3">
        <v>0.63</v>
      </c>
      <c r="H17" s="3">
        <v>17.579999999999998</v>
      </c>
      <c r="I17" s="3">
        <v>1.8</v>
      </c>
      <c r="J17" s="3">
        <f t="shared" si="0"/>
        <v>15.779999999999998</v>
      </c>
      <c r="K17" s="3">
        <f t="shared" si="1"/>
        <v>15.779999999999998</v>
      </c>
      <c r="L17" s="2" cm="1">
        <f t="array" ref="L17">VLOOKUP(A17,$N$1:$O$100,{2},0)</f>
        <v>0.91469999999999996</v>
      </c>
      <c r="N17" s="8" t="s">
        <v>72</v>
      </c>
      <c r="O17" s="9">
        <v>0.9375</v>
      </c>
    </row>
    <row r="18" spans="1:15" ht="15" thickBot="1" x14ac:dyDescent="0.4">
      <c r="A18" s="1" t="s">
        <v>77</v>
      </c>
      <c r="B18" s="3">
        <v>5.66</v>
      </c>
      <c r="C18" s="3">
        <v>6.7</v>
      </c>
      <c r="D18" s="3">
        <v>16.350000000000001</v>
      </c>
      <c r="E18" s="3">
        <v>2.59</v>
      </c>
      <c r="F18" s="3">
        <v>2.58</v>
      </c>
      <c r="G18" s="3">
        <v>0.94</v>
      </c>
      <c r="H18" s="3">
        <v>19.18</v>
      </c>
      <c r="I18" s="3">
        <v>3.56</v>
      </c>
      <c r="J18" s="3">
        <f t="shared" si="0"/>
        <v>15.62</v>
      </c>
      <c r="K18" s="3">
        <f t="shared" si="1"/>
        <v>15.62</v>
      </c>
      <c r="L18" s="2" t="e" cm="1">
        <f t="array" ref="L18">VLOOKUP(A18,$N$1:$O$100,{2},0)</f>
        <v>#N/A</v>
      </c>
      <c r="N18" s="8" t="s">
        <v>45</v>
      </c>
      <c r="O18" s="9">
        <v>0.93700000000000006</v>
      </c>
    </row>
    <row r="19" spans="1:15" ht="15" thickBot="1" x14ac:dyDescent="0.4">
      <c r="A19" s="1" t="s">
        <v>78</v>
      </c>
      <c r="B19" s="3">
        <v>1.91</v>
      </c>
      <c r="C19" s="3">
        <v>8</v>
      </c>
      <c r="D19" s="3">
        <v>8.6999999999999993</v>
      </c>
      <c r="E19" s="3">
        <v>3.87</v>
      </c>
      <c r="F19" s="3">
        <v>1.75</v>
      </c>
      <c r="G19" s="3">
        <v>0.64</v>
      </c>
      <c r="H19" s="3">
        <v>17.190000000000001</v>
      </c>
      <c r="I19" s="3">
        <v>1.66</v>
      </c>
      <c r="J19" s="3">
        <f t="shared" si="0"/>
        <v>15.530000000000001</v>
      </c>
      <c r="K19" s="3">
        <f t="shared" si="1"/>
        <v>15.530000000000001</v>
      </c>
      <c r="L19" s="2" cm="1">
        <f t="array" ref="L19">VLOOKUP(A19,$N$1:$O$100,{2},0)</f>
        <v>0.82569999999999999</v>
      </c>
      <c r="N19" s="8" t="s">
        <v>84</v>
      </c>
      <c r="O19" s="9">
        <v>0.9365</v>
      </c>
    </row>
    <row r="20" spans="1:15" ht="15" thickBot="1" x14ac:dyDescent="0.4">
      <c r="A20" s="1" t="s">
        <v>52</v>
      </c>
      <c r="B20" s="3">
        <v>2.02</v>
      </c>
      <c r="C20" s="3">
        <v>9.69</v>
      </c>
      <c r="D20" s="3">
        <v>6.55</v>
      </c>
      <c r="E20" s="3">
        <v>4.18</v>
      </c>
      <c r="F20" s="3">
        <v>2.76</v>
      </c>
      <c r="G20" s="3">
        <v>1.1200000000000001</v>
      </c>
      <c r="H20" s="3">
        <v>18.39</v>
      </c>
      <c r="I20" s="3">
        <v>2.87</v>
      </c>
      <c r="J20" s="3">
        <f t="shared" si="0"/>
        <v>15.52</v>
      </c>
      <c r="K20" s="3">
        <f t="shared" si="1"/>
        <v>15.52</v>
      </c>
      <c r="L20" s="2" cm="1">
        <f t="array" ref="L20">VLOOKUP(A20,$N$1:$O$100,{2},0)</f>
        <v>0.91379999999999995</v>
      </c>
      <c r="N20" s="8" t="s">
        <v>85</v>
      </c>
      <c r="O20" s="9">
        <v>0.93600000000000005</v>
      </c>
    </row>
    <row r="21" spans="1:15" ht="15" thickBot="1" x14ac:dyDescent="0.4">
      <c r="A21" s="1" t="s">
        <v>87</v>
      </c>
      <c r="B21" s="3">
        <v>0</v>
      </c>
      <c r="C21" s="3">
        <v>9.34</v>
      </c>
      <c r="D21" s="3">
        <v>13.37</v>
      </c>
      <c r="E21" s="3">
        <v>3.56</v>
      </c>
      <c r="F21" s="3">
        <v>2.86</v>
      </c>
      <c r="G21" s="3">
        <v>5.28</v>
      </c>
      <c r="H21" s="3">
        <v>19.52</v>
      </c>
      <c r="I21" s="3">
        <v>4.13</v>
      </c>
      <c r="J21" s="3">
        <f t="shared" si="0"/>
        <v>15.39</v>
      </c>
      <c r="K21" s="3">
        <f t="shared" si="1"/>
        <v>15.39</v>
      </c>
      <c r="L21" s="2" cm="1">
        <f t="array" ref="L21">VLOOKUP(A21,$N$1:$O$100,{2},0)</f>
        <v>0.84089999999999998</v>
      </c>
      <c r="N21" s="8" t="s">
        <v>18</v>
      </c>
      <c r="O21" s="9">
        <v>0.93589999999999995</v>
      </c>
    </row>
    <row r="22" spans="1:15" ht="15" thickBot="1" x14ac:dyDescent="0.4">
      <c r="A22" s="1" t="s">
        <v>50</v>
      </c>
      <c r="B22" s="3">
        <v>2.73</v>
      </c>
      <c r="C22" s="3">
        <v>13.44</v>
      </c>
      <c r="D22" s="3">
        <v>12.18</v>
      </c>
      <c r="E22" s="3">
        <v>1.24</v>
      </c>
      <c r="F22" s="3">
        <v>1.56</v>
      </c>
      <c r="G22" s="3">
        <v>0.34</v>
      </c>
      <c r="H22" s="3">
        <v>18.54</v>
      </c>
      <c r="I22" s="3">
        <v>3.49</v>
      </c>
      <c r="J22" s="3">
        <f t="shared" si="0"/>
        <v>15.049999999999999</v>
      </c>
      <c r="K22" s="3">
        <f t="shared" si="1"/>
        <v>15.049999999999999</v>
      </c>
      <c r="L22" s="2" cm="1">
        <f t="array" ref="L22">VLOOKUP(A22,$N$1:$O$100,{2},0)</f>
        <v>0.93</v>
      </c>
      <c r="N22" s="8" t="s">
        <v>100</v>
      </c>
      <c r="O22" s="9">
        <v>0.93579999999999997</v>
      </c>
    </row>
    <row r="23" spans="1:15" ht="15" thickBot="1" x14ac:dyDescent="0.4">
      <c r="A23" s="1" t="s">
        <v>63</v>
      </c>
      <c r="B23" s="3">
        <v>0.32</v>
      </c>
      <c r="C23" s="3">
        <v>6.43</v>
      </c>
      <c r="D23" s="3">
        <v>14.01</v>
      </c>
      <c r="E23" s="3">
        <v>4.28</v>
      </c>
      <c r="F23" s="3">
        <v>1.7</v>
      </c>
      <c r="G23" s="3">
        <v>2.75</v>
      </c>
      <c r="H23" s="3">
        <v>17.510000000000002</v>
      </c>
      <c r="I23" s="3">
        <v>2.64</v>
      </c>
      <c r="J23" s="3">
        <f t="shared" si="0"/>
        <v>14.870000000000001</v>
      </c>
      <c r="K23" s="3">
        <f t="shared" si="1"/>
        <v>14.870000000000001</v>
      </c>
      <c r="L23" s="2" cm="1">
        <f t="array" ref="L23">VLOOKUP(A23,$N$1:$O$100,{2},0)</f>
        <v>0.90429999999999999</v>
      </c>
      <c r="N23" s="8" t="s">
        <v>40</v>
      </c>
      <c r="O23" s="9">
        <v>0.93479999999999996</v>
      </c>
    </row>
    <row r="24" spans="1:15" ht="15" thickBot="1" x14ac:dyDescent="0.4">
      <c r="A24" s="1" t="s">
        <v>43</v>
      </c>
      <c r="B24" s="3">
        <v>0.21</v>
      </c>
      <c r="C24" s="3">
        <v>8.0500000000000007</v>
      </c>
      <c r="D24" s="3">
        <v>13.64</v>
      </c>
      <c r="E24" s="3">
        <v>1.48</v>
      </c>
      <c r="F24" s="3">
        <v>1.88</v>
      </c>
      <c r="G24" s="3">
        <v>1.28</v>
      </c>
      <c r="H24" s="3">
        <v>17.37</v>
      </c>
      <c r="I24" s="3">
        <v>2.79</v>
      </c>
      <c r="J24" s="3">
        <f t="shared" si="0"/>
        <v>14.580000000000002</v>
      </c>
      <c r="K24" s="3">
        <f t="shared" si="1"/>
        <v>14.580000000000002</v>
      </c>
      <c r="L24" s="2" t="e" cm="1">
        <f t="array" ref="L24">VLOOKUP(A24,$N$1:$O$100,{2},0)</f>
        <v>#N/A</v>
      </c>
      <c r="N24" s="8" t="s">
        <v>98</v>
      </c>
      <c r="O24" s="9">
        <v>0.93479999999999996</v>
      </c>
    </row>
    <row r="25" spans="1:15" ht="15" thickBot="1" x14ac:dyDescent="0.4">
      <c r="A25" s="1" t="s">
        <v>70</v>
      </c>
      <c r="B25" s="3">
        <v>5.32</v>
      </c>
      <c r="C25" s="3">
        <v>11.45</v>
      </c>
      <c r="D25" s="3">
        <v>8.81</v>
      </c>
      <c r="E25" s="3">
        <v>1.58</v>
      </c>
      <c r="F25" s="3">
        <v>3.72</v>
      </c>
      <c r="G25" s="3">
        <v>3.13</v>
      </c>
      <c r="H25" s="3">
        <v>18.510000000000002</v>
      </c>
      <c r="I25" s="3">
        <v>4.01</v>
      </c>
      <c r="J25" s="3">
        <f t="shared" si="0"/>
        <v>14.500000000000002</v>
      </c>
      <c r="K25" s="3">
        <f t="shared" si="1"/>
        <v>14.500000000000002</v>
      </c>
      <c r="L25" s="2" cm="1">
        <f t="array" ref="L25">VLOOKUP(A25,$N$1:$O$100,{2},0)</f>
        <v>0.9214</v>
      </c>
      <c r="N25" s="8" t="s">
        <v>71</v>
      </c>
      <c r="O25" s="9">
        <v>0.93479999999999996</v>
      </c>
    </row>
    <row r="26" spans="1:15" ht="15" thickBot="1" x14ac:dyDescent="0.4">
      <c r="A26" s="1" t="s">
        <v>103</v>
      </c>
      <c r="B26" s="3">
        <v>5.32</v>
      </c>
      <c r="C26" s="3">
        <v>11.45</v>
      </c>
      <c r="D26" s="3">
        <v>8.81</v>
      </c>
      <c r="E26" s="3">
        <v>1.58</v>
      </c>
      <c r="F26" s="3">
        <v>3.72</v>
      </c>
      <c r="G26" s="3">
        <v>2.79</v>
      </c>
      <c r="H26" s="3">
        <v>18.510000000000002</v>
      </c>
      <c r="I26" s="3">
        <v>4.01</v>
      </c>
      <c r="J26" s="3">
        <f t="shared" si="0"/>
        <v>14.500000000000002</v>
      </c>
      <c r="K26" s="3">
        <f t="shared" si="1"/>
        <v>14.500000000000002</v>
      </c>
      <c r="L26" s="2" cm="1">
        <f t="array" ref="L26">VLOOKUP(A26,$N$1:$O$100,{2},0)</f>
        <v>0.9214</v>
      </c>
      <c r="N26" s="8" t="s">
        <v>48</v>
      </c>
      <c r="O26" s="9">
        <v>0.93469999999999998</v>
      </c>
    </row>
    <row r="27" spans="1:15" ht="15" thickBot="1" x14ac:dyDescent="0.4">
      <c r="A27" s="1" t="s">
        <v>54</v>
      </c>
      <c r="B27" s="3">
        <v>2.1</v>
      </c>
      <c r="C27" s="3">
        <v>9.9700000000000006</v>
      </c>
      <c r="D27" s="3">
        <v>17.22</v>
      </c>
      <c r="E27" s="3">
        <v>3.07</v>
      </c>
      <c r="F27" s="3">
        <v>4.55</v>
      </c>
      <c r="G27" s="3">
        <v>1.31</v>
      </c>
      <c r="H27" s="3">
        <v>18.559999999999999</v>
      </c>
      <c r="I27" s="3">
        <v>4.25</v>
      </c>
      <c r="J27" s="3">
        <f t="shared" si="0"/>
        <v>14.309999999999999</v>
      </c>
      <c r="K27" s="3">
        <f t="shared" si="1"/>
        <v>14.309999999999999</v>
      </c>
      <c r="L27" s="2" cm="1">
        <f t="array" ref="L27">VLOOKUP(A27,$N$1:$O$100,{2},0)</f>
        <v>0.90690000000000004</v>
      </c>
      <c r="N27" s="8" t="s">
        <v>62</v>
      </c>
      <c r="O27" s="9">
        <v>0.93440000000000001</v>
      </c>
    </row>
    <row r="28" spans="1:15" ht="15" thickBot="1" x14ac:dyDescent="0.4">
      <c r="A28" s="1" t="s">
        <v>66</v>
      </c>
      <c r="B28" s="3">
        <v>3.66</v>
      </c>
      <c r="C28" s="3">
        <v>9.5399999999999991</v>
      </c>
      <c r="D28" s="3">
        <v>10.09</v>
      </c>
      <c r="E28" s="3">
        <v>0.62</v>
      </c>
      <c r="F28" s="3">
        <v>2.0499999999999998</v>
      </c>
      <c r="G28" s="3">
        <v>0</v>
      </c>
      <c r="H28" s="3">
        <v>15.96</v>
      </c>
      <c r="I28" s="3">
        <v>1.74</v>
      </c>
      <c r="J28" s="3">
        <f t="shared" si="0"/>
        <v>14.22</v>
      </c>
      <c r="K28" s="3">
        <f t="shared" si="1"/>
        <v>14.22</v>
      </c>
      <c r="L28" s="2" cm="1">
        <f t="array" ref="L28">VLOOKUP(A28,$N$1:$O$100,{2},0)</f>
        <v>0.495</v>
      </c>
      <c r="N28" s="8" t="s">
        <v>39</v>
      </c>
      <c r="O28" s="9">
        <v>0.93410000000000004</v>
      </c>
    </row>
    <row r="29" spans="1:15" ht="15" thickBot="1" x14ac:dyDescent="0.4">
      <c r="A29" s="1" t="s">
        <v>69</v>
      </c>
      <c r="B29" s="3">
        <v>1.77</v>
      </c>
      <c r="C29" s="3">
        <v>10.02</v>
      </c>
      <c r="D29" s="3">
        <v>14.57</v>
      </c>
      <c r="E29" s="3">
        <v>1.96</v>
      </c>
      <c r="F29" s="3">
        <v>2.71</v>
      </c>
      <c r="G29" s="3">
        <v>2.2599999999999998</v>
      </c>
      <c r="H29" s="3">
        <v>17.43</v>
      </c>
      <c r="I29" s="3">
        <v>3.22</v>
      </c>
      <c r="J29" s="3">
        <f t="shared" si="0"/>
        <v>14.209999999999999</v>
      </c>
      <c r="K29" s="3">
        <f t="shared" si="1"/>
        <v>14.209999999999999</v>
      </c>
      <c r="L29" s="2" cm="1">
        <f t="array" ref="L29">VLOOKUP(A29,$N$1:$O$100,{2},0)</f>
        <v>0.88449999999999995</v>
      </c>
      <c r="N29" s="8" t="s">
        <v>91</v>
      </c>
      <c r="O29" s="9">
        <v>0.93400000000000005</v>
      </c>
    </row>
    <row r="30" spans="1:15" ht="15" thickBot="1" x14ac:dyDescent="0.4">
      <c r="A30" s="1" t="s">
        <v>42</v>
      </c>
      <c r="B30" s="3">
        <v>4.5</v>
      </c>
      <c r="C30" s="3">
        <v>6.41</v>
      </c>
      <c r="D30" s="3">
        <v>12.07</v>
      </c>
      <c r="E30" s="3">
        <v>3.13</v>
      </c>
      <c r="F30" s="3">
        <v>2.75</v>
      </c>
      <c r="G30" s="3">
        <v>1.3</v>
      </c>
      <c r="H30" s="3">
        <v>16.89</v>
      </c>
      <c r="I30" s="3">
        <v>2.81</v>
      </c>
      <c r="J30" s="3">
        <f t="shared" si="0"/>
        <v>14.08</v>
      </c>
      <c r="K30" s="3">
        <f t="shared" si="1"/>
        <v>14.08</v>
      </c>
      <c r="L30" s="2" cm="1">
        <f t="array" ref="L30">VLOOKUP(A30,$N$1:$O$100,{2},0)</f>
        <v>0.88500000000000001</v>
      </c>
      <c r="N30" s="8" t="s">
        <v>76</v>
      </c>
      <c r="O30" s="9">
        <v>0.93230000000000002</v>
      </c>
    </row>
    <row r="31" spans="1:15" ht="15" thickBot="1" x14ac:dyDescent="0.4">
      <c r="A31" s="1" t="s">
        <v>21</v>
      </c>
      <c r="B31" s="3">
        <v>4.79</v>
      </c>
      <c r="C31" s="3">
        <v>10.130000000000001</v>
      </c>
      <c r="D31" s="3">
        <v>13.67</v>
      </c>
      <c r="E31" s="3">
        <v>7.45</v>
      </c>
      <c r="F31" s="3">
        <v>3.25</v>
      </c>
      <c r="G31" s="3">
        <v>2.06</v>
      </c>
      <c r="H31" s="3">
        <v>16.28</v>
      </c>
      <c r="I31" s="3">
        <v>2.33</v>
      </c>
      <c r="J31" s="3">
        <f t="shared" si="0"/>
        <v>13.950000000000001</v>
      </c>
      <c r="K31" s="3">
        <f t="shared" si="1"/>
        <v>13.950000000000001</v>
      </c>
      <c r="L31" s="2" cm="1">
        <f t="array" ref="L31">VLOOKUP(A31,$N$1:$O$100,{2},0)</f>
        <v>0.87019999999999997</v>
      </c>
      <c r="N31" s="8" t="s">
        <v>50</v>
      </c>
      <c r="O31" s="9">
        <v>0.93</v>
      </c>
    </row>
    <row r="32" spans="1:15" ht="15" thickBot="1" x14ac:dyDescent="0.4">
      <c r="A32" s="1" t="s">
        <v>57</v>
      </c>
      <c r="B32" s="3">
        <v>2.37</v>
      </c>
      <c r="C32" s="3">
        <v>10.01</v>
      </c>
      <c r="D32" s="3">
        <v>8.86</v>
      </c>
      <c r="E32" s="3">
        <v>1.1499999999999999</v>
      </c>
      <c r="F32" s="3">
        <v>1.89</v>
      </c>
      <c r="G32" s="3">
        <v>1.1100000000000001</v>
      </c>
      <c r="H32" s="3">
        <v>15.74</v>
      </c>
      <c r="I32" s="3">
        <v>1.84</v>
      </c>
      <c r="J32" s="3">
        <f t="shared" si="0"/>
        <v>13.9</v>
      </c>
      <c r="K32" s="3">
        <f t="shared" si="1"/>
        <v>13.9</v>
      </c>
      <c r="L32" s="2" cm="1">
        <f t="array" ref="L32">VLOOKUP(A32,$N$1:$O$100,{2},0)</f>
        <v>0.84330000000000005</v>
      </c>
      <c r="N32" s="10" t="s">
        <v>32</v>
      </c>
      <c r="O32" s="11">
        <v>0.92920000000000003</v>
      </c>
    </row>
    <row r="33" spans="1:15" ht="15" thickBot="1" x14ac:dyDescent="0.4">
      <c r="A33" s="1" t="s">
        <v>46</v>
      </c>
      <c r="B33" s="3">
        <v>2.6</v>
      </c>
      <c r="C33" s="3">
        <v>5.83</v>
      </c>
      <c r="D33" s="3">
        <v>14.28</v>
      </c>
      <c r="E33" s="3">
        <v>2.21</v>
      </c>
      <c r="F33" s="3">
        <v>1.36</v>
      </c>
      <c r="G33" s="3">
        <v>2.95</v>
      </c>
      <c r="H33" s="3">
        <v>15.99</v>
      </c>
      <c r="I33" s="3">
        <v>2.15</v>
      </c>
      <c r="J33" s="3">
        <f t="shared" si="0"/>
        <v>13.84</v>
      </c>
      <c r="K33" s="3">
        <f t="shared" si="1"/>
        <v>13.84</v>
      </c>
      <c r="L33" s="2" cm="1">
        <f t="array" ref="L33">VLOOKUP(A33,$N$1:$O$100,{2},0)</f>
        <v>0.92110000000000003</v>
      </c>
      <c r="N33" s="8" t="s">
        <v>94</v>
      </c>
      <c r="O33" s="9">
        <v>0.92889999999999995</v>
      </c>
    </row>
    <row r="34" spans="1:15" ht="15" thickBot="1" x14ac:dyDescent="0.4">
      <c r="A34" s="1" t="s">
        <v>2</v>
      </c>
      <c r="B34" s="3">
        <v>2.4700000000000002</v>
      </c>
      <c r="C34" s="3">
        <v>7.18</v>
      </c>
      <c r="D34" s="3">
        <v>11.63</v>
      </c>
      <c r="E34" s="3">
        <v>2.67</v>
      </c>
      <c r="F34" s="3">
        <v>2.04</v>
      </c>
      <c r="G34" s="3">
        <v>0.5</v>
      </c>
      <c r="H34" s="3">
        <v>17.46</v>
      </c>
      <c r="I34" s="3">
        <v>3.82</v>
      </c>
      <c r="J34" s="3">
        <f t="shared" ref="J34:J65" si="2">(H34-I34)</f>
        <v>13.64</v>
      </c>
      <c r="K34" s="3">
        <f t="shared" ref="K34:K65" si="3">ABS(J34)</f>
        <v>13.64</v>
      </c>
      <c r="L34" s="2" cm="1">
        <f t="array" ref="L34">VLOOKUP(A34,$N$1:$O$100,{2},0)</f>
        <v>0.93920000000000003</v>
      </c>
      <c r="N34" s="8" t="s">
        <v>101</v>
      </c>
      <c r="O34" s="9">
        <v>0.92830000000000001</v>
      </c>
    </row>
    <row r="35" spans="1:15" ht="15" thickBot="1" x14ac:dyDescent="0.4">
      <c r="A35" s="1" t="s">
        <v>27</v>
      </c>
      <c r="B35" s="3">
        <v>2.16</v>
      </c>
      <c r="C35" s="3">
        <v>9.23</v>
      </c>
      <c r="D35" s="3">
        <v>4.83</v>
      </c>
      <c r="E35" s="3">
        <v>2.83</v>
      </c>
      <c r="F35" s="3">
        <v>1.62</v>
      </c>
      <c r="G35" s="3">
        <v>1.62</v>
      </c>
      <c r="H35" s="3">
        <v>17.649999999999999</v>
      </c>
      <c r="I35" s="3">
        <v>4.0599999999999996</v>
      </c>
      <c r="J35" s="3">
        <f t="shared" si="2"/>
        <v>13.59</v>
      </c>
      <c r="K35" s="3">
        <f t="shared" si="3"/>
        <v>13.59</v>
      </c>
      <c r="L35" s="2" cm="1">
        <f t="array" ref="L35">VLOOKUP(A35,$N$1:$O$100,{2},0)</f>
        <v>0.9204</v>
      </c>
      <c r="N35" s="8" t="s">
        <v>30</v>
      </c>
      <c r="O35" s="9">
        <v>0.92830000000000001</v>
      </c>
    </row>
    <row r="36" spans="1:15" ht="15" thickBot="1" x14ac:dyDescent="0.4">
      <c r="A36" s="1" t="s">
        <v>84</v>
      </c>
      <c r="B36" s="3">
        <v>2.29</v>
      </c>
      <c r="C36" s="3">
        <v>9.84</v>
      </c>
      <c r="D36" s="3">
        <v>12.49</v>
      </c>
      <c r="E36" s="3">
        <v>1.63</v>
      </c>
      <c r="F36" s="3">
        <v>3.2</v>
      </c>
      <c r="G36" s="3">
        <v>1.08</v>
      </c>
      <c r="H36" s="3">
        <v>17.18</v>
      </c>
      <c r="I36" s="3">
        <v>3.69</v>
      </c>
      <c r="J36" s="3">
        <f t="shared" si="2"/>
        <v>13.49</v>
      </c>
      <c r="K36" s="3">
        <f t="shared" si="3"/>
        <v>13.49</v>
      </c>
      <c r="L36" s="2" cm="1">
        <f t="array" ref="L36">VLOOKUP(A36,$N$1:$O$100,{2},0)</f>
        <v>0.9365</v>
      </c>
      <c r="N36" s="8" t="s">
        <v>10</v>
      </c>
      <c r="O36" s="9">
        <v>0.92800000000000005</v>
      </c>
    </row>
    <row r="37" spans="1:15" ht="15" thickBot="1" x14ac:dyDescent="0.4">
      <c r="A37" s="1" t="s">
        <v>80</v>
      </c>
      <c r="B37" s="3">
        <v>3.9</v>
      </c>
      <c r="C37" s="3">
        <v>11.17</v>
      </c>
      <c r="D37" s="3">
        <v>8.2200000000000006</v>
      </c>
      <c r="E37" s="3">
        <v>2.42</v>
      </c>
      <c r="F37" s="3">
        <v>3.14</v>
      </c>
      <c r="G37" s="3">
        <v>1.61</v>
      </c>
      <c r="H37" s="3">
        <v>16.45</v>
      </c>
      <c r="I37" s="3">
        <v>3.07</v>
      </c>
      <c r="J37" s="3">
        <f t="shared" si="2"/>
        <v>13.379999999999999</v>
      </c>
      <c r="K37" s="3">
        <f t="shared" si="3"/>
        <v>13.379999999999999</v>
      </c>
      <c r="L37" s="2" cm="1">
        <f t="array" ref="L37">VLOOKUP(A37,$N$1:$O$100,{2},0)</f>
        <v>0.92490000000000006</v>
      </c>
      <c r="N37" s="8" t="s">
        <v>26</v>
      </c>
      <c r="O37" s="9">
        <v>0.92749999999999999</v>
      </c>
    </row>
    <row r="38" spans="1:15" ht="15" thickBot="1" x14ac:dyDescent="0.4">
      <c r="A38" s="1" t="s">
        <v>16</v>
      </c>
      <c r="B38" s="3">
        <v>2.72</v>
      </c>
      <c r="C38" s="3">
        <v>9.3699999999999992</v>
      </c>
      <c r="D38" s="3">
        <v>7.59</v>
      </c>
      <c r="E38" s="3">
        <v>0.88</v>
      </c>
      <c r="F38" s="3">
        <v>0.36</v>
      </c>
      <c r="G38" s="3">
        <v>3.79</v>
      </c>
      <c r="H38" s="3">
        <v>15.76</v>
      </c>
      <c r="I38" s="3">
        <v>2.42</v>
      </c>
      <c r="J38" s="3">
        <f t="shared" si="2"/>
        <v>13.34</v>
      </c>
      <c r="K38" s="3">
        <f t="shared" si="3"/>
        <v>13.34</v>
      </c>
      <c r="L38" s="2" cm="1">
        <f t="array" ref="L38">VLOOKUP(A38,$N$1:$O$100,{2},0)</f>
        <v>0.90710000000000002</v>
      </c>
      <c r="N38" s="8" t="s">
        <v>88</v>
      </c>
      <c r="O38" s="9">
        <v>0.92610000000000003</v>
      </c>
    </row>
    <row r="39" spans="1:15" ht="15" thickBot="1" x14ac:dyDescent="0.4">
      <c r="A39" s="1" t="s">
        <v>8</v>
      </c>
      <c r="B39" s="3">
        <v>3.41</v>
      </c>
      <c r="C39" s="3">
        <v>8.58</v>
      </c>
      <c r="D39" s="3">
        <v>6.57</v>
      </c>
      <c r="E39" s="3">
        <v>1.02</v>
      </c>
      <c r="F39" s="3">
        <v>1.49</v>
      </c>
      <c r="G39" s="3">
        <v>4.26</v>
      </c>
      <c r="H39" s="3">
        <v>17.55</v>
      </c>
      <c r="I39" s="3">
        <v>4.32</v>
      </c>
      <c r="J39" s="3">
        <f t="shared" si="2"/>
        <v>13.23</v>
      </c>
      <c r="K39" s="3">
        <f t="shared" si="3"/>
        <v>13.23</v>
      </c>
      <c r="L39" s="2" cm="1">
        <f t="array" ref="L39">VLOOKUP(A39,$N$1:$O$100,{2},0)</f>
        <v>0.88300000000000001</v>
      </c>
      <c r="N39" s="8" t="s">
        <v>80</v>
      </c>
      <c r="O39" s="9">
        <v>0.92490000000000006</v>
      </c>
    </row>
    <row r="40" spans="1:15" ht="15" thickBot="1" x14ac:dyDescent="0.4">
      <c r="A40" s="1" t="s">
        <v>102</v>
      </c>
      <c r="B40" s="3">
        <v>0.3</v>
      </c>
      <c r="C40" s="3">
        <v>11.06</v>
      </c>
      <c r="D40" s="3">
        <v>5.48</v>
      </c>
      <c r="E40" s="3">
        <v>2.5099999999999998</v>
      </c>
      <c r="F40" s="3">
        <v>2.2599999999999998</v>
      </c>
      <c r="G40" s="3">
        <v>1</v>
      </c>
      <c r="H40" s="3">
        <v>16.309999999999999</v>
      </c>
      <c r="I40" s="3">
        <v>3.17</v>
      </c>
      <c r="J40" s="3">
        <f t="shared" si="2"/>
        <v>13.139999999999999</v>
      </c>
      <c r="K40" s="3">
        <f t="shared" si="3"/>
        <v>13.139999999999999</v>
      </c>
      <c r="L40" s="2" cm="1">
        <f t="array" ref="L40">VLOOKUP(A40,$N$1:$O$100,{2},0)</f>
        <v>0.91810000000000003</v>
      </c>
      <c r="N40" s="8" t="s">
        <v>14</v>
      </c>
      <c r="O40" s="9">
        <v>0.92479999999999996</v>
      </c>
    </row>
    <row r="41" spans="1:15" ht="15" thickBot="1" x14ac:dyDescent="0.4">
      <c r="A41" s="1" t="s">
        <v>88</v>
      </c>
      <c r="B41" s="3">
        <v>3.21</v>
      </c>
      <c r="C41" s="3">
        <v>6.11</v>
      </c>
      <c r="D41" s="3">
        <v>11.37</v>
      </c>
      <c r="E41" s="3">
        <v>1.2</v>
      </c>
      <c r="F41" s="3">
        <v>2.67</v>
      </c>
      <c r="G41" s="3">
        <v>0.89</v>
      </c>
      <c r="H41" s="3">
        <v>15.71</v>
      </c>
      <c r="I41" s="3">
        <v>2.59</v>
      </c>
      <c r="J41" s="3">
        <f t="shared" si="2"/>
        <v>13.120000000000001</v>
      </c>
      <c r="K41" s="3">
        <f t="shared" si="3"/>
        <v>13.120000000000001</v>
      </c>
      <c r="L41" s="2" cm="1">
        <f t="array" ref="L41">VLOOKUP(A41,$N$1:$O$100,{2},0)</f>
        <v>0.92610000000000003</v>
      </c>
      <c r="N41" s="8" t="s">
        <v>60</v>
      </c>
      <c r="O41" s="9">
        <v>0.92459999999999998</v>
      </c>
    </row>
    <row r="42" spans="1:15" ht="15" thickBot="1" x14ac:dyDescent="0.4">
      <c r="A42" s="1" t="s">
        <v>20</v>
      </c>
      <c r="B42" s="3">
        <v>1.82</v>
      </c>
      <c r="C42" s="3">
        <v>10.49</v>
      </c>
      <c r="D42" s="3">
        <v>11.88</v>
      </c>
      <c r="E42" s="3">
        <v>2.91</v>
      </c>
      <c r="F42" s="3">
        <v>3.11</v>
      </c>
      <c r="G42" s="3">
        <v>1.7</v>
      </c>
      <c r="H42" s="3">
        <v>16.18</v>
      </c>
      <c r="I42" s="3">
        <v>3.18</v>
      </c>
      <c r="J42" s="3">
        <f t="shared" si="2"/>
        <v>13</v>
      </c>
      <c r="K42" s="3">
        <f t="shared" si="3"/>
        <v>13</v>
      </c>
      <c r="L42" s="2" cm="1">
        <f t="array" ref="L42">VLOOKUP(A42,$N$1:$O$100,{2},0)</f>
        <v>0.92349999999999999</v>
      </c>
      <c r="N42" s="8" t="s">
        <v>37</v>
      </c>
      <c r="O42" s="9">
        <v>0.9244</v>
      </c>
    </row>
    <row r="43" spans="1:15" ht="15" thickBot="1" x14ac:dyDescent="0.4">
      <c r="A43" s="1" t="s">
        <v>51</v>
      </c>
      <c r="B43" s="3">
        <v>3.52</v>
      </c>
      <c r="C43" s="3">
        <v>11.58</v>
      </c>
      <c r="D43" s="3">
        <v>19.170000000000002</v>
      </c>
      <c r="E43" s="3">
        <v>1.9</v>
      </c>
      <c r="F43" s="3">
        <v>4.9000000000000004</v>
      </c>
      <c r="G43" s="3">
        <v>1.06</v>
      </c>
      <c r="H43" s="3">
        <v>17.670000000000002</v>
      </c>
      <c r="I43" s="3">
        <v>4.74</v>
      </c>
      <c r="J43" s="3">
        <f t="shared" si="2"/>
        <v>12.930000000000001</v>
      </c>
      <c r="K43" s="3">
        <f t="shared" si="3"/>
        <v>12.930000000000001</v>
      </c>
      <c r="L43" s="2" cm="1">
        <f t="array" ref="L43">VLOOKUP(A43,$N$1:$O$100,{2},0)</f>
        <v>0.89529999999999998</v>
      </c>
      <c r="N43" s="8" t="s">
        <v>6</v>
      </c>
      <c r="O43" s="9">
        <v>0.92400000000000004</v>
      </c>
    </row>
    <row r="44" spans="1:15" ht="15" thickBot="1" x14ac:dyDescent="0.4">
      <c r="A44" s="1" t="s">
        <v>75</v>
      </c>
      <c r="B44" s="3">
        <v>4.5999999999999996</v>
      </c>
      <c r="C44" s="3">
        <v>11.03</v>
      </c>
      <c r="D44" s="3">
        <v>15.62</v>
      </c>
      <c r="E44" s="3">
        <v>3.97</v>
      </c>
      <c r="F44" s="3">
        <v>3.81</v>
      </c>
      <c r="G44" s="3">
        <v>0.82</v>
      </c>
      <c r="H44" s="3">
        <v>16.5</v>
      </c>
      <c r="I44" s="3">
        <v>3.68</v>
      </c>
      <c r="J44" s="3">
        <f t="shared" si="2"/>
        <v>12.82</v>
      </c>
      <c r="K44" s="3">
        <f t="shared" si="3"/>
        <v>12.82</v>
      </c>
      <c r="L44" s="2" cm="1">
        <f t="array" ref="L44">VLOOKUP(A44,$N$1:$O$100,{2},0)</f>
        <v>0.94040000000000001</v>
      </c>
      <c r="N44" s="8" t="s">
        <v>81</v>
      </c>
      <c r="O44" s="9">
        <v>0.92390000000000005</v>
      </c>
    </row>
    <row r="45" spans="1:15" ht="15" thickBot="1" x14ac:dyDescent="0.4">
      <c r="A45" s="1" t="s">
        <v>90</v>
      </c>
      <c r="B45" s="3">
        <v>3.03</v>
      </c>
      <c r="C45" s="3">
        <v>10.58</v>
      </c>
      <c r="D45" s="3">
        <v>10.63</v>
      </c>
      <c r="E45" s="3">
        <v>1.69</v>
      </c>
      <c r="F45" s="3">
        <v>1.84</v>
      </c>
      <c r="G45" s="3">
        <v>0.9</v>
      </c>
      <c r="H45" s="3">
        <v>17.489999999999998</v>
      </c>
      <c r="I45" s="3">
        <v>4.71</v>
      </c>
      <c r="J45" s="3">
        <f t="shared" si="2"/>
        <v>12.779999999999998</v>
      </c>
      <c r="K45" s="3">
        <f t="shared" si="3"/>
        <v>12.779999999999998</v>
      </c>
      <c r="L45" s="2" cm="1">
        <f t="array" ref="L45">VLOOKUP(A45,$N$1:$O$100,{2},0)</f>
        <v>0.94140000000000001</v>
      </c>
      <c r="N45" s="8" t="s">
        <v>20</v>
      </c>
      <c r="O45" s="9">
        <v>0.92349999999999999</v>
      </c>
    </row>
    <row r="46" spans="1:15" ht="15" thickBot="1" x14ac:dyDescent="0.4">
      <c r="A46" s="1" t="s">
        <v>91</v>
      </c>
      <c r="B46" s="3">
        <v>2.99</v>
      </c>
      <c r="C46" s="3">
        <v>11.74</v>
      </c>
      <c r="D46" s="3">
        <v>11.92</v>
      </c>
      <c r="E46" s="3">
        <v>2.12</v>
      </c>
      <c r="F46" s="3">
        <v>4.2</v>
      </c>
      <c r="G46" s="3">
        <v>1.95</v>
      </c>
      <c r="H46" s="3">
        <v>16.29</v>
      </c>
      <c r="I46" s="3">
        <v>3.58</v>
      </c>
      <c r="J46" s="3">
        <f t="shared" si="2"/>
        <v>12.709999999999999</v>
      </c>
      <c r="K46" s="3">
        <f t="shared" si="3"/>
        <v>12.709999999999999</v>
      </c>
      <c r="L46" s="2" cm="1">
        <f t="array" ref="L46">VLOOKUP(A46,$N$1:$O$100,{2},0)</f>
        <v>0.93400000000000005</v>
      </c>
      <c r="N46" s="8" t="s">
        <v>97</v>
      </c>
      <c r="O46" s="9">
        <v>0.92230000000000001</v>
      </c>
    </row>
    <row r="47" spans="1:15" ht="15" thickBot="1" x14ac:dyDescent="0.4">
      <c r="A47" s="1" t="s">
        <v>59</v>
      </c>
      <c r="B47" s="3">
        <v>3.13</v>
      </c>
      <c r="C47" s="3">
        <v>9.5299999999999994</v>
      </c>
      <c r="D47" s="3">
        <v>6.45</v>
      </c>
      <c r="E47" s="3">
        <v>2.94</v>
      </c>
      <c r="F47" s="3">
        <v>3.33</v>
      </c>
      <c r="G47" s="3">
        <v>1.0900000000000001</v>
      </c>
      <c r="H47" s="3">
        <v>15.98</v>
      </c>
      <c r="I47" s="3">
        <v>3.38</v>
      </c>
      <c r="J47" s="3">
        <f t="shared" si="2"/>
        <v>12.600000000000001</v>
      </c>
      <c r="K47" s="3">
        <f t="shared" si="3"/>
        <v>12.600000000000001</v>
      </c>
      <c r="L47" s="2" cm="1">
        <f t="array" ref="L47">VLOOKUP(A47,$N$1:$O$100,{2},0)</f>
        <v>0.88380000000000003</v>
      </c>
      <c r="N47" s="8" t="s">
        <v>23</v>
      </c>
      <c r="O47" s="9">
        <v>0.92190000000000005</v>
      </c>
    </row>
    <row r="48" spans="1:15" ht="15" thickBot="1" x14ac:dyDescent="0.4">
      <c r="A48" s="1" t="s">
        <v>34</v>
      </c>
      <c r="B48" s="3">
        <v>3.68</v>
      </c>
      <c r="C48" s="3">
        <v>10.08</v>
      </c>
      <c r="D48" s="3">
        <v>10.57</v>
      </c>
      <c r="E48" s="3">
        <v>0.55000000000000004</v>
      </c>
      <c r="F48" s="3">
        <v>3.6</v>
      </c>
      <c r="G48" s="3">
        <v>1.3</v>
      </c>
      <c r="H48" s="3">
        <v>16.7</v>
      </c>
      <c r="I48" s="3">
        <v>4.13</v>
      </c>
      <c r="J48" s="3">
        <f t="shared" si="2"/>
        <v>12.57</v>
      </c>
      <c r="K48" s="3">
        <f t="shared" si="3"/>
        <v>12.57</v>
      </c>
      <c r="L48" s="2" cm="1">
        <f t="array" ref="L48">VLOOKUP(A48,$N$1:$O$100,{2},0)</f>
        <v>0.90329999999999999</v>
      </c>
      <c r="N48" s="8" t="s">
        <v>103</v>
      </c>
      <c r="O48" s="9">
        <v>0.9214</v>
      </c>
    </row>
    <row r="49" spans="1:15" ht="15" thickBot="1" x14ac:dyDescent="0.4">
      <c r="A49" s="1" t="s">
        <v>15</v>
      </c>
      <c r="B49" s="3">
        <v>1.28</v>
      </c>
      <c r="C49" s="3">
        <v>6.81</v>
      </c>
      <c r="D49" s="3">
        <v>13.96</v>
      </c>
      <c r="E49" s="3">
        <v>3.42</v>
      </c>
      <c r="F49" s="3">
        <v>3.9</v>
      </c>
      <c r="G49" s="3">
        <v>1.02</v>
      </c>
      <c r="H49" s="3">
        <v>17.55</v>
      </c>
      <c r="I49" s="3">
        <v>5.04</v>
      </c>
      <c r="J49" s="3">
        <f t="shared" si="2"/>
        <v>12.510000000000002</v>
      </c>
      <c r="K49" s="3">
        <f t="shared" si="3"/>
        <v>12.510000000000002</v>
      </c>
      <c r="L49" s="2" cm="1">
        <f t="array" ref="L49">VLOOKUP(A49,$N$1:$O$100,{2},0)</f>
        <v>0.94089999999999996</v>
      </c>
      <c r="N49" s="8" t="s">
        <v>70</v>
      </c>
      <c r="O49" s="9">
        <v>0.9214</v>
      </c>
    </row>
    <row r="50" spans="1:15" ht="15" thickBot="1" x14ac:dyDescent="0.4">
      <c r="A50" s="1" t="s">
        <v>94</v>
      </c>
      <c r="B50" s="3">
        <v>1.99</v>
      </c>
      <c r="C50" s="3">
        <v>17.32</v>
      </c>
      <c r="D50" s="3">
        <v>18.920000000000002</v>
      </c>
      <c r="E50" s="3">
        <v>3.34</v>
      </c>
      <c r="F50" s="3">
        <v>3.64</v>
      </c>
      <c r="G50" s="3">
        <v>1.37</v>
      </c>
      <c r="H50" s="3">
        <v>18.22</v>
      </c>
      <c r="I50" s="3">
        <v>5.75</v>
      </c>
      <c r="J50" s="3">
        <f t="shared" si="2"/>
        <v>12.469999999999999</v>
      </c>
      <c r="K50" s="3">
        <f t="shared" si="3"/>
        <v>12.469999999999999</v>
      </c>
      <c r="L50" s="2" cm="1">
        <f t="array" ref="L50">VLOOKUP(A50,$N$1:$O$100,{2},0)</f>
        <v>0.92889999999999995</v>
      </c>
      <c r="N50" s="8" t="s">
        <v>46</v>
      </c>
      <c r="O50" s="9">
        <v>0.92110000000000003</v>
      </c>
    </row>
    <row r="51" spans="1:15" ht="15" thickBot="1" x14ac:dyDescent="0.4">
      <c r="A51" s="1" t="s">
        <v>95</v>
      </c>
      <c r="B51" s="3">
        <v>1.99</v>
      </c>
      <c r="C51" s="3">
        <v>17.32</v>
      </c>
      <c r="D51" s="3">
        <v>18.920000000000002</v>
      </c>
      <c r="E51" s="3">
        <v>3.34</v>
      </c>
      <c r="F51" s="3">
        <v>3.64</v>
      </c>
      <c r="G51" s="3">
        <v>2.25</v>
      </c>
      <c r="H51" s="3">
        <v>18.22</v>
      </c>
      <c r="I51" s="3">
        <v>5.75</v>
      </c>
      <c r="J51" s="3">
        <f t="shared" si="2"/>
        <v>12.469999999999999</v>
      </c>
      <c r="K51" s="3">
        <f t="shared" si="3"/>
        <v>12.469999999999999</v>
      </c>
      <c r="L51" s="2" t="e" cm="1">
        <f t="array" ref="L51">VLOOKUP(A51,$N$1:$O$100,{2},0)</f>
        <v>#N/A</v>
      </c>
      <c r="N51" s="8" t="s">
        <v>99</v>
      </c>
      <c r="O51" s="9">
        <v>0.92090000000000005</v>
      </c>
    </row>
    <row r="52" spans="1:15" ht="15" thickBot="1" x14ac:dyDescent="0.4">
      <c r="A52" s="1" t="s">
        <v>92</v>
      </c>
      <c r="B52" s="3">
        <v>5.15</v>
      </c>
      <c r="C52" s="3">
        <v>10.130000000000001</v>
      </c>
      <c r="D52" s="3">
        <v>10.99</v>
      </c>
      <c r="E52" s="3">
        <v>0.77</v>
      </c>
      <c r="F52" s="3">
        <v>3.7</v>
      </c>
      <c r="G52" s="3">
        <v>1.46</v>
      </c>
      <c r="H52" s="3">
        <v>14.74</v>
      </c>
      <c r="I52" s="3">
        <v>2.36</v>
      </c>
      <c r="J52" s="3">
        <f t="shared" si="2"/>
        <v>12.38</v>
      </c>
      <c r="K52" s="3">
        <f t="shared" si="3"/>
        <v>12.38</v>
      </c>
      <c r="L52" s="2" cm="1">
        <f t="array" ref="L52">VLOOKUP(A52,$N$1:$O$100,{2},0)</f>
        <v>0.84150000000000003</v>
      </c>
      <c r="N52" s="12" t="s">
        <v>27</v>
      </c>
      <c r="O52" s="9">
        <v>0.9204</v>
      </c>
    </row>
    <row r="53" spans="1:15" ht="15" thickBot="1" x14ac:dyDescent="0.4">
      <c r="A53" s="1" t="s">
        <v>10</v>
      </c>
      <c r="B53" s="3">
        <v>5.19</v>
      </c>
      <c r="C53" s="3">
        <v>10.98</v>
      </c>
      <c r="D53" s="3">
        <v>12.81</v>
      </c>
      <c r="E53" s="3">
        <v>0.89</v>
      </c>
      <c r="F53" s="3">
        <v>1.78</v>
      </c>
      <c r="G53" s="3">
        <v>1.57</v>
      </c>
      <c r="H53" s="3">
        <v>16.53</v>
      </c>
      <c r="I53" s="3">
        <v>4.16</v>
      </c>
      <c r="J53" s="3">
        <f t="shared" si="2"/>
        <v>12.370000000000001</v>
      </c>
      <c r="K53" s="3">
        <f t="shared" si="3"/>
        <v>12.370000000000001</v>
      </c>
      <c r="L53" s="2" cm="1">
        <f t="array" ref="L53">VLOOKUP(A53,$N$1:$O$100,{2},0)</f>
        <v>0.92800000000000005</v>
      </c>
      <c r="N53" s="8" t="s">
        <v>93</v>
      </c>
      <c r="O53" s="9">
        <v>0.91910000000000003</v>
      </c>
    </row>
    <row r="54" spans="1:15" ht="15" thickBot="1" x14ac:dyDescent="0.4">
      <c r="A54" s="1" t="s">
        <v>82</v>
      </c>
      <c r="B54" s="3">
        <v>2.76</v>
      </c>
      <c r="C54" s="3">
        <v>9.49</v>
      </c>
      <c r="D54" s="3">
        <v>9.35</v>
      </c>
      <c r="E54" s="3">
        <v>3.37</v>
      </c>
      <c r="F54" s="3">
        <v>3.45</v>
      </c>
      <c r="G54" s="3">
        <v>0.53</v>
      </c>
      <c r="H54" s="3">
        <v>15.3</v>
      </c>
      <c r="I54" s="3">
        <v>2.99</v>
      </c>
      <c r="J54" s="3">
        <f t="shared" si="2"/>
        <v>12.31</v>
      </c>
      <c r="K54" s="3">
        <f t="shared" si="3"/>
        <v>12.31</v>
      </c>
      <c r="L54" s="2" cm="1">
        <f t="array" ref="L54">VLOOKUP(A54,$N$1:$O$100,{2},0)</f>
        <v>0.9385</v>
      </c>
      <c r="N54" s="8" t="s">
        <v>102</v>
      </c>
      <c r="O54" s="9">
        <v>0.91810000000000003</v>
      </c>
    </row>
    <row r="55" spans="1:15" ht="15" thickBot="1" x14ac:dyDescent="0.4">
      <c r="A55" s="1" t="s">
        <v>19</v>
      </c>
      <c r="B55" s="3">
        <v>3.88</v>
      </c>
      <c r="C55" s="3">
        <v>12.08</v>
      </c>
      <c r="D55" s="3">
        <v>13.42</v>
      </c>
      <c r="E55" s="3">
        <v>3.33</v>
      </c>
      <c r="F55" s="3">
        <v>4.42</v>
      </c>
      <c r="G55" s="3">
        <v>2.5299999999999998</v>
      </c>
      <c r="H55" s="3">
        <v>16.45</v>
      </c>
      <c r="I55" s="3">
        <v>4.1900000000000004</v>
      </c>
      <c r="J55" s="3">
        <f t="shared" si="2"/>
        <v>12.259999999999998</v>
      </c>
      <c r="K55" s="3">
        <f t="shared" si="3"/>
        <v>12.259999999999998</v>
      </c>
      <c r="L55" s="2" cm="1">
        <f t="array" ref="L55">VLOOKUP(A55,$N$1:$O$100,{2},0)</f>
        <v>0.91690000000000005</v>
      </c>
      <c r="N55" s="8" t="s">
        <v>67</v>
      </c>
      <c r="O55" s="9">
        <v>0.91810000000000003</v>
      </c>
    </row>
    <row r="56" spans="1:15" ht="15" thickBot="1" x14ac:dyDescent="0.4">
      <c r="A56" s="1" t="s">
        <v>24</v>
      </c>
      <c r="B56" s="3">
        <v>4.6399999999999997</v>
      </c>
      <c r="C56" s="3">
        <v>9.9600000000000009</v>
      </c>
      <c r="D56" s="3">
        <v>9.94</v>
      </c>
      <c r="E56" s="3">
        <v>3.08</v>
      </c>
      <c r="F56" s="3">
        <v>3.62</v>
      </c>
      <c r="G56" s="3">
        <v>1.67</v>
      </c>
      <c r="H56" s="3">
        <v>15.55</v>
      </c>
      <c r="I56" s="3">
        <v>3.38</v>
      </c>
      <c r="J56" s="3">
        <f t="shared" si="2"/>
        <v>12.170000000000002</v>
      </c>
      <c r="K56" s="3">
        <f t="shared" si="3"/>
        <v>12.170000000000002</v>
      </c>
      <c r="L56" s="2" cm="1">
        <f t="array" ref="L56">VLOOKUP(A56,$N$1:$O$100,{2},0)</f>
        <v>0.89139999999999997</v>
      </c>
      <c r="N56" s="8" t="s">
        <v>19</v>
      </c>
      <c r="O56" s="9">
        <v>0.91690000000000005</v>
      </c>
    </row>
    <row r="57" spans="1:15" ht="15" thickBot="1" x14ac:dyDescent="0.4">
      <c r="A57" s="1" t="s">
        <v>62</v>
      </c>
      <c r="B57" s="3">
        <v>2.25</v>
      </c>
      <c r="C57" s="3">
        <v>9.58</v>
      </c>
      <c r="D57" s="3">
        <v>7.72</v>
      </c>
      <c r="E57" s="3">
        <v>2.48</v>
      </c>
      <c r="F57" s="3">
        <v>3.43</v>
      </c>
      <c r="G57" s="3">
        <v>0.8</v>
      </c>
      <c r="H57" s="3">
        <v>16.010000000000002</v>
      </c>
      <c r="I57" s="3">
        <v>3.85</v>
      </c>
      <c r="J57" s="3">
        <f t="shared" si="2"/>
        <v>12.160000000000002</v>
      </c>
      <c r="K57" s="3">
        <f t="shared" si="3"/>
        <v>12.160000000000002</v>
      </c>
      <c r="L57" s="2" cm="1">
        <f t="array" ref="L57">VLOOKUP(A57,$N$1:$O$100,{2},0)</f>
        <v>0.93440000000000001</v>
      </c>
      <c r="N57" s="8" t="s">
        <v>96</v>
      </c>
      <c r="O57" s="9">
        <v>0.91469999999999996</v>
      </c>
    </row>
    <row r="58" spans="1:15" ht="15" thickBot="1" x14ac:dyDescent="0.4">
      <c r="A58" s="1" t="s">
        <v>71</v>
      </c>
      <c r="B58" s="3">
        <v>3.8</v>
      </c>
      <c r="C58" s="3">
        <v>9.31</v>
      </c>
      <c r="D58" s="3">
        <v>10.55</v>
      </c>
      <c r="E58" s="3">
        <v>2.14</v>
      </c>
      <c r="F58" s="3">
        <v>2.35</v>
      </c>
      <c r="G58" s="3">
        <v>1.9</v>
      </c>
      <c r="H58" s="3">
        <v>15.24</v>
      </c>
      <c r="I58" s="3">
        <v>3.08</v>
      </c>
      <c r="J58" s="3">
        <f t="shared" si="2"/>
        <v>12.16</v>
      </c>
      <c r="K58" s="3">
        <f t="shared" si="3"/>
        <v>12.16</v>
      </c>
      <c r="L58" s="2" cm="1">
        <f t="array" ref="L58">VLOOKUP(A58,$N$1:$O$100,{2},0)</f>
        <v>0.93479999999999996</v>
      </c>
      <c r="N58" s="8" t="s">
        <v>86</v>
      </c>
      <c r="O58" s="9">
        <v>0.91400000000000003</v>
      </c>
    </row>
    <row r="59" spans="1:15" ht="15" thickBot="1" x14ac:dyDescent="0.4">
      <c r="A59" s="1" t="s">
        <v>49</v>
      </c>
      <c r="B59" s="3">
        <v>3.04</v>
      </c>
      <c r="C59" s="3">
        <v>13.74</v>
      </c>
      <c r="D59" s="3">
        <v>10.85</v>
      </c>
      <c r="E59" s="3">
        <v>0.66</v>
      </c>
      <c r="F59" s="3">
        <v>3.09</v>
      </c>
      <c r="G59" s="3">
        <v>1.29</v>
      </c>
      <c r="H59" s="3">
        <v>16.57</v>
      </c>
      <c r="I59" s="3">
        <v>4.42</v>
      </c>
      <c r="J59" s="3">
        <f t="shared" si="2"/>
        <v>12.15</v>
      </c>
      <c r="K59" s="3">
        <f t="shared" si="3"/>
        <v>12.15</v>
      </c>
      <c r="L59" s="2" t="e" cm="1">
        <f t="array" ref="L59">VLOOKUP(A59,$N$1:$O$100,{2},0)</f>
        <v>#N/A</v>
      </c>
      <c r="N59" s="8" t="s">
        <v>52</v>
      </c>
      <c r="O59" s="9">
        <v>0.91379999999999995</v>
      </c>
    </row>
    <row r="60" spans="1:15" ht="15" thickBot="1" x14ac:dyDescent="0.4">
      <c r="A60" s="1" t="s">
        <v>53</v>
      </c>
      <c r="B60" s="3">
        <v>2.88</v>
      </c>
      <c r="C60" s="3">
        <v>11.25</v>
      </c>
      <c r="D60" s="3">
        <v>12.42</v>
      </c>
      <c r="E60" s="3">
        <v>1.84</v>
      </c>
      <c r="F60" s="3">
        <v>3.81</v>
      </c>
      <c r="G60" s="3">
        <v>1.68</v>
      </c>
      <c r="H60" s="3">
        <v>18.41</v>
      </c>
      <c r="I60" s="3">
        <v>6.33</v>
      </c>
      <c r="J60" s="3">
        <f t="shared" si="2"/>
        <v>12.08</v>
      </c>
      <c r="K60" s="3">
        <f t="shared" si="3"/>
        <v>12.08</v>
      </c>
      <c r="L60" s="2" cm="1">
        <f t="array" ref="L60">VLOOKUP(A60,$N$1:$O$100,{2},0)</f>
        <v>0.84550000000000003</v>
      </c>
      <c r="N60" s="8" t="s">
        <v>55</v>
      </c>
      <c r="O60" s="9">
        <v>0.91100000000000003</v>
      </c>
    </row>
    <row r="61" spans="1:15" ht="15" thickBot="1" x14ac:dyDescent="0.4">
      <c r="A61" s="1" t="s">
        <v>14</v>
      </c>
      <c r="B61" s="3">
        <v>2.34</v>
      </c>
      <c r="C61" s="3">
        <v>10.6</v>
      </c>
      <c r="D61" s="3">
        <v>14.47</v>
      </c>
      <c r="E61" s="3">
        <v>4.3600000000000003</v>
      </c>
      <c r="F61" s="3">
        <v>3.08</v>
      </c>
      <c r="G61" s="3">
        <v>1.0900000000000001</v>
      </c>
      <c r="H61" s="3">
        <v>16.46</v>
      </c>
      <c r="I61" s="3">
        <v>4.54</v>
      </c>
      <c r="J61" s="3">
        <f t="shared" si="2"/>
        <v>11.920000000000002</v>
      </c>
      <c r="K61" s="3">
        <f t="shared" si="3"/>
        <v>11.920000000000002</v>
      </c>
      <c r="L61" s="2" cm="1">
        <f t="array" ref="L61">VLOOKUP(A61,$N$1:$O$100,{2},0)</f>
        <v>0.92479999999999996</v>
      </c>
      <c r="N61" s="8" t="s">
        <v>9</v>
      </c>
      <c r="O61" s="9">
        <v>0.90890000000000004</v>
      </c>
    </row>
    <row r="62" spans="1:15" ht="15" thickBot="1" x14ac:dyDescent="0.4">
      <c r="A62" s="1" t="s">
        <v>3</v>
      </c>
      <c r="B62" s="3">
        <v>10.58</v>
      </c>
      <c r="C62" s="3">
        <v>8.08</v>
      </c>
      <c r="D62" s="3">
        <v>1.86</v>
      </c>
      <c r="E62" s="3">
        <v>3.55</v>
      </c>
      <c r="F62" s="3">
        <v>0.56999999999999995</v>
      </c>
      <c r="G62" s="3">
        <v>2.44</v>
      </c>
      <c r="H62" s="3">
        <v>11.81</v>
      </c>
      <c r="I62" s="3">
        <v>0</v>
      </c>
      <c r="J62" s="3">
        <f t="shared" si="2"/>
        <v>11.81</v>
      </c>
      <c r="K62" s="3">
        <f t="shared" si="3"/>
        <v>11.81</v>
      </c>
      <c r="L62" s="2" cm="1">
        <f t="array" ref="L62">VLOOKUP(A62,$N$1:$O$100,{2},0)</f>
        <v>0</v>
      </c>
      <c r="N62" s="8" t="s">
        <v>16</v>
      </c>
      <c r="O62" s="9">
        <v>0.90710000000000002</v>
      </c>
    </row>
    <row r="63" spans="1:15" ht="15" thickBot="1" x14ac:dyDescent="0.4">
      <c r="A63" s="1" t="s">
        <v>4</v>
      </c>
      <c r="B63" s="3">
        <v>10.58</v>
      </c>
      <c r="C63" s="3">
        <v>8.08</v>
      </c>
      <c r="D63" s="3">
        <v>1.86</v>
      </c>
      <c r="E63" s="3">
        <v>3.55</v>
      </c>
      <c r="F63" s="3">
        <v>0.56999999999999995</v>
      </c>
      <c r="G63" s="3">
        <v>0</v>
      </c>
      <c r="H63" s="3">
        <v>11.81</v>
      </c>
      <c r="I63" s="3">
        <v>0</v>
      </c>
      <c r="J63" s="3">
        <f t="shared" si="2"/>
        <v>11.81</v>
      </c>
      <c r="K63" s="3">
        <f t="shared" si="3"/>
        <v>11.81</v>
      </c>
      <c r="L63" s="2" cm="1">
        <f t="array" ref="L63">VLOOKUP(A63,$N$1:$O$100,{2},0)</f>
        <v>0</v>
      </c>
      <c r="N63" s="8" t="s">
        <v>54</v>
      </c>
      <c r="O63" s="9">
        <v>0.90690000000000004</v>
      </c>
    </row>
    <row r="64" spans="1:15" ht="15" thickBot="1" x14ac:dyDescent="0.4">
      <c r="A64" s="1" t="s">
        <v>72</v>
      </c>
      <c r="B64" s="3">
        <v>3.92</v>
      </c>
      <c r="C64" s="3">
        <v>10.71</v>
      </c>
      <c r="D64" s="3">
        <v>14.6</v>
      </c>
      <c r="E64" s="3">
        <v>2.34</v>
      </c>
      <c r="F64" s="3">
        <v>2.88</v>
      </c>
      <c r="G64" s="3">
        <v>2.52</v>
      </c>
      <c r="H64" s="3">
        <v>15.81</v>
      </c>
      <c r="I64" s="3">
        <v>4.01</v>
      </c>
      <c r="J64" s="3">
        <f t="shared" si="2"/>
        <v>11.8</v>
      </c>
      <c r="K64" s="3">
        <f t="shared" si="3"/>
        <v>11.8</v>
      </c>
      <c r="L64" s="2" cm="1">
        <f t="array" ref="L64">VLOOKUP(A64,$N$1:$O$100,{2},0)</f>
        <v>0.9375</v>
      </c>
      <c r="N64" s="8" t="s">
        <v>58</v>
      </c>
      <c r="O64" s="9">
        <v>0.90490000000000004</v>
      </c>
    </row>
    <row r="65" spans="1:15" ht="15" thickBot="1" x14ac:dyDescent="0.4">
      <c r="A65" s="1" t="s">
        <v>97</v>
      </c>
      <c r="B65" s="3">
        <v>3.73</v>
      </c>
      <c r="C65" s="3">
        <v>10.08</v>
      </c>
      <c r="D65" s="3">
        <v>11.53</v>
      </c>
      <c r="E65" s="3">
        <v>1.71</v>
      </c>
      <c r="F65" s="3">
        <v>4.12</v>
      </c>
      <c r="G65" s="3">
        <v>0.99</v>
      </c>
      <c r="H65" s="3">
        <v>16.16</v>
      </c>
      <c r="I65" s="3">
        <v>4.49</v>
      </c>
      <c r="J65" s="3">
        <f t="shared" si="2"/>
        <v>11.67</v>
      </c>
      <c r="K65" s="3">
        <f t="shared" si="3"/>
        <v>11.67</v>
      </c>
      <c r="L65" s="2" cm="1">
        <f t="array" ref="L65">VLOOKUP(A65,$N$1:$O$100,{2},0)</f>
        <v>0.92230000000000001</v>
      </c>
      <c r="N65" s="8" t="s">
        <v>63</v>
      </c>
      <c r="O65" s="9">
        <v>0.90429999999999999</v>
      </c>
    </row>
    <row r="66" spans="1:15" ht="15" thickBot="1" x14ac:dyDescent="0.4">
      <c r="A66" s="1" t="s">
        <v>76</v>
      </c>
      <c r="B66" s="3">
        <v>4.18</v>
      </c>
      <c r="C66" s="3">
        <v>12.8</v>
      </c>
      <c r="D66" s="3">
        <v>11.26</v>
      </c>
      <c r="E66" s="3">
        <v>1.75</v>
      </c>
      <c r="F66" s="3">
        <v>4.16</v>
      </c>
      <c r="G66" s="3">
        <v>1.05</v>
      </c>
      <c r="H66" s="3">
        <v>15.88</v>
      </c>
      <c r="I66" s="3">
        <v>4.25</v>
      </c>
      <c r="J66" s="3">
        <f t="shared" ref="J66:J97" si="4">(H66-I66)</f>
        <v>11.63</v>
      </c>
      <c r="K66" s="3">
        <f t="shared" ref="K66:K97" si="5">ABS(J66)</f>
        <v>11.63</v>
      </c>
      <c r="L66" s="2" cm="1">
        <f t="array" ref="L66">VLOOKUP(A66,$N$1:$O$100,{2},0)</f>
        <v>0.93230000000000002</v>
      </c>
      <c r="N66" s="10" t="s">
        <v>34</v>
      </c>
      <c r="O66" s="11">
        <v>0.90329999999999999</v>
      </c>
    </row>
    <row r="67" spans="1:15" ht="15" thickBot="1" x14ac:dyDescent="0.4">
      <c r="A67" s="1" t="s">
        <v>93</v>
      </c>
      <c r="B67" s="3">
        <v>3.03</v>
      </c>
      <c r="C67" s="3">
        <v>9.24</v>
      </c>
      <c r="D67" s="3">
        <v>4.04</v>
      </c>
      <c r="E67" s="3">
        <v>0.73</v>
      </c>
      <c r="F67" s="3">
        <v>1.63</v>
      </c>
      <c r="G67" s="3">
        <v>2.08</v>
      </c>
      <c r="H67" s="3">
        <v>15.14</v>
      </c>
      <c r="I67" s="3">
        <v>3.52</v>
      </c>
      <c r="J67" s="3">
        <f t="shared" si="4"/>
        <v>11.620000000000001</v>
      </c>
      <c r="K67" s="3">
        <f t="shared" si="5"/>
        <v>11.620000000000001</v>
      </c>
      <c r="L67" s="2" cm="1">
        <f t="array" ref="L67">VLOOKUP(A67,$N$1:$O$100,{2},0)</f>
        <v>0.91910000000000003</v>
      </c>
      <c r="N67" s="10" t="s">
        <v>73</v>
      </c>
      <c r="O67" s="11">
        <v>0.89739999999999998</v>
      </c>
    </row>
    <row r="68" spans="1:15" ht="15" thickBot="1" x14ac:dyDescent="0.4">
      <c r="A68" s="1" t="s">
        <v>22</v>
      </c>
      <c r="B68" s="3">
        <v>3.73</v>
      </c>
      <c r="C68" s="3">
        <v>10.18</v>
      </c>
      <c r="D68" s="3">
        <v>11.73</v>
      </c>
      <c r="E68" s="3">
        <v>1.37</v>
      </c>
      <c r="F68" s="3">
        <v>4.09</v>
      </c>
      <c r="G68" s="3">
        <v>0.54</v>
      </c>
      <c r="H68" s="3">
        <v>16.91</v>
      </c>
      <c r="I68" s="3">
        <v>5.3</v>
      </c>
      <c r="J68" s="3">
        <f t="shared" si="4"/>
        <v>11.61</v>
      </c>
      <c r="K68" s="3">
        <f t="shared" si="5"/>
        <v>11.61</v>
      </c>
      <c r="L68" s="2" cm="1">
        <f t="array" ref="L68">VLOOKUP(A68,$N$1:$O$100,{2},0)</f>
        <v>0.89500000000000002</v>
      </c>
      <c r="N68" s="8" t="s">
        <v>51</v>
      </c>
      <c r="O68" s="9">
        <v>0.89529999999999998</v>
      </c>
    </row>
    <row r="69" spans="1:15" ht="15" thickBot="1" x14ac:dyDescent="0.4">
      <c r="A69" s="1" t="s">
        <v>79</v>
      </c>
      <c r="B69" s="3">
        <v>3.95</v>
      </c>
      <c r="C69" s="3">
        <v>11.27</v>
      </c>
      <c r="D69" s="3">
        <v>12.24</v>
      </c>
      <c r="E69" s="3">
        <v>5.23</v>
      </c>
      <c r="F69" s="3">
        <v>4.03</v>
      </c>
      <c r="G69" s="3">
        <v>1.1499999999999999</v>
      </c>
      <c r="H69" s="3">
        <v>16.440000000000001</v>
      </c>
      <c r="I69" s="3">
        <v>4.8600000000000003</v>
      </c>
      <c r="J69" s="3">
        <f t="shared" si="4"/>
        <v>11.580000000000002</v>
      </c>
      <c r="K69" s="3">
        <f t="shared" si="5"/>
        <v>11.580000000000002</v>
      </c>
      <c r="L69" s="2" cm="1">
        <f t="array" ref="L69">VLOOKUP(A69,$N$1:$O$100,{2},0)</f>
        <v>0.81640000000000001</v>
      </c>
      <c r="N69" s="8" t="s">
        <v>22</v>
      </c>
      <c r="O69" s="9">
        <v>0.89500000000000002</v>
      </c>
    </row>
    <row r="70" spans="1:15" ht="15" thickBot="1" x14ac:dyDescent="0.4">
      <c r="A70" s="1" t="s">
        <v>18</v>
      </c>
      <c r="B70" s="3">
        <v>1.6</v>
      </c>
      <c r="C70" s="3">
        <v>9.0399999999999991</v>
      </c>
      <c r="D70" s="3">
        <v>11.4</v>
      </c>
      <c r="E70" s="3">
        <v>2.74</v>
      </c>
      <c r="F70" s="3">
        <v>1.99</v>
      </c>
      <c r="G70" s="3">
        <v>2.15</v>
      </c>
      <c r="H70" s="3">
        <v>15.59</v>
      </c>
      <c r="I70" s="3">
        <v>4.25</v>
      </c>
      <c r="J70" s="3">
        <f t="shared" si="4"/>
        <v>11.34</v>
      </c>
      <c r="K70" s="3">
        <f t="shared" si="5"/>
        <v>11.34</v>
      </c>
      <c r="L70" s="2" cm="1">
        <f t="array" ref="L70">VLOOKUP(A70,$N$1:$O$100,{2},0)</f>
        <v>0.93589999999999995</v>
      </c>
      <c r="N70" s="8" t="s">
        <v>24</v>
      </c>
      <c r="O70" s="9">
        <v>0.89139999999999997</v>
      </c>
    </row>
    <row r="71" spans="1:15" ht="15" thickBot="1" x14ac:dyDescent="0.4">
      <c r="A71" s="1" t="s">
        <v>9</v>
      </c>
      <c r="B71" s="3">
        <v>2.56</v>
      </c>
      <c r="C71" s="3">
        <v>11.1</v>
      </c>
      <c r="D71" s="3">
        <v>10.36</v>
      </c>
      <c r="E71" s="3">
        <v>2.41</v>
      </c>
      <c r="F71" s="3">
        <v>4.76</v>
      </c>
      <c r="G71" s="3">
        <v>1.05</v>
      </c>
      <c r="H71" s="3">
        <v>15.72</v>
      </c>
      <c r="I71" s="3">
        <v>4.45</v>
      </c>
      <c r="J71" s="3">
        <f t="shared" si="4"/>
        <v>11.27</v>
      </c>
      <c r="K71" s="3">
        <f t="shared" si="5"/>
        <v>11.27</v>
      </c>
      <c r="L71" s="2" cm="1">
        <f t="array" ref="L71">VLOOKUP(A71,$N$1:$O$100,{2},0)</f>
        <v>0.90890000000000004</v>
      </c>
      <c r="N71" s="8" t="s">
        <v>29</v>
      </c>
      <c r="O71" s="9">
        <v>0.89049999999999996</v>
      </c>
    </row>
    <row r="72" spans="1:15" ht="15" thickBot="1" x14ac:dyDescent="0.4">
      <c r="A72" s="1" t="s">
        <v>33</v>
      </c>
      <c r="B72" s="3">
        <v>3.55</v>
      </c>
      <c r="C72" s="3">
        <v>10.08</v>
      </c>
      <c r="D72" s="3">
        <v>8.3699999999999992</v>
      </c>
      <c r="E72" s="3">
        <v>2.39</v>
      </c>
      <c r="F72" s="3">
        <v>3.23</v>
      </c>
      <c r="G72" s="3">
        <v>0.76</v>
      </c>
      <c r="H72" s="3">
        <v>14.97</v>
      </c>
      <c r="I72" s="3">
        <v>3.77</v>
      </c>
      <c r="J72" s="3">
        <f t="shared" si="4"/>
        <v>11.200000000000001</v>
      </c>
      <c r="K72" s="3">
        <f t="shared" si="5"/>
        <v>11.200000000000001</v>
      </c>
      <c r="L72" s="2" cm="1">
        <f t="array" ref="L72">VLOOKUP(A72,$N$1:$O$100,{2},0)</f>
        <v>0.94030000000000002</v>
      </c>
      <c r="N72" s="8" t="s">
        <v>41</v>
      </c>
      <c r="O72" s="9">
        <v>0.88859999999999995</v>
      </c>
    </row>
    <row r="73" spans="1:15" ht="15" thickBot="1" x14ac:dyDescent="0.4">
      <c r="A73" s="1" t="s">
        <v>6</v>
      </c>
      <c r="B73" s="3">
        <v>3.81</v>
      </c>
      <c r="C73" s="3">
        <v>10.58</v>
      </c>
      <c r="D73" s="3">
        <v>11.9</v>
      </c>
      <c r="E73" s="3">
        <v>0.81</v>
      </c>
      <c r="F73" s="3">
        <v>3.19</v>
      </c>
      <c r="G73" s="3">
        <v>0.62</v>
      </c>
      <c r="H73" s="3">
        <v>15.53</v>
      </c>
      <c r="I73" s="3">
        <v>4.33</v>
      </c>
      <c r="J73" s="3">
        <f t="shared" si="4"/>
        <v>11.2</v>
      </c>
      <c r="K73" s="3">
        <f t="shared" si="5"/>
        <v>11.2</v>
      </c>
      <c r="L73" s="2" cm="1">
        <f t="array" ref="L73">VLOOKUP(A73,$N$1:$O$100,{2},0)</f>
        <v>0.92400000000000004</v>
      </c>
      <c r="N73" s="8" t="s">
        <v>42</v>
      </c>
      <c r="O73" s="9">
        <v>0.88500000000000001</v>
      </c>
    </row>
    <row r="74" spans="1:15" ht="15" thickBot="1" x14ac:dyDescent="0.4">
      <c r="A74" s="1" t="s">
        <v>13</v>
      </c>
      <c r="B74" s="3">
        <v>3.69</v>
      </c>
      <c r="C74" s="3">
        <v>9.85</v>
      </c>
      <c r="D74" s="3">
        <v>9.7799999999999994</v>
      </c>
      <c r="E74" s="3">
        <v>3.67</v>
      </c>
      <c r="F74" s="3">
        <v>4.05</v>
      </c>
      <c r="G74" s="3">
        <v>0.93</v>
      </c>
      <c r="H74" s="3">
        <v>16.93</v>
      </c>
      <c r="I74" s="3">
        <v>5.78</v>
      </c>
      <c r="J74" s="3">
        <f t="shared" si="4"/>
        <v>11.149999999999999</v>
      </c>
      <c r="K74" s="3">
        <f t="shared" si="5"/>
        <v>11.149999999999999</v>
      </c>
      <c r="L74" s="2" cm="1">
        <f t="array" ref="L74">VLOOKUP(A74,$N$1:$O$100,{2},0)</f>
        <v>0.94130000000000003</v>
      </c>
      <c r="N74" s="8" t="s">
        <v>69</v>
      </c>
      <c r="O74" s="9">
        <v>0.88449999999999995</v>
      </c>
    </row>
    <row r="75" spans="1:15" ht="15" thickBot="1" x14ac:dyDescent="0.4">
      <c r="A75" s="1" t="s">
        <v>32</v>
      </c>
      <c r="B75" s="3">
        <v>0</v>
      </c>
      <c r="C75" s="3">
        <v>8.17</v>
      </c>
      <c r="D75" s="3">
        <v>6.85</v>
      </c>
      <c r="E75" s="3">
        <v>3.69</v>
      </c>
      <c r="F75" s="3">
        <v>2.74</v>
      </c>
      <c r="G75" s="3">
        <v>0.44</v>
      </c>
      <c r="H75" s="3">
        <v>15.44</v>
      </c>
      <c r="I75" s="3">
        <v>4.32</v>
      </c>
      <c r="J75" s="3">
        <f t="shared" si="4"/>
        <v>11.12</v>
      </c>
      <c r="K75" s="3">
        <f t="shared" si="5"/>
        <v>11.12</v>
      </c>
      <c r="L75" s="2" cm="1">
        <f t="array" ref="L75">VLOOKUP(A75,$N$1:$O$100,{2},0)</f>
        <v>0.92920000000000003</v>
      </c>
      <c r="N75" s="10" t="s">
        <v>59</v>
      </c>
      <c r="O75" s="11">
        <v>0.88380000000000003</v>
      </c>
    </row>
    <row r="76" spans="1:15" ht="15" thickBot="1" x14ac:dyDescent="0.4">
      <c r="A76" s="1" t="s">
        <v>86</v>
      </c>
      <c r="B76" s="3">
        <v>3.57</v>
      </c>
      <c r="C76" s="3">
        <v>12.03</v>
      </c>
      <c r="D76" s="3">
        <v>12.4</v>
      </c>
      <c r="E76" s="3">
        <v>1.21</v>
      </c>
      <c r="F76" s="3">
        <v>4.3</v>
      </c>
      <c r="G76" s="3">
        <v>2.12</v>
      </c>
      <c r="H76" s="3">
        <v>17.12</v>
      </c>
      <c r="I76" s="3">
        <v>6.02</v>
      </c>
      <c r="J76" s="3">
        <f t="shared" si="4"/>
        <v>11.100000000000001</v>
      </c>
      <c r="K76" s="3">
        <f t="shared" si="5"/>
        <v>11.100000000000001</v>
      </c>
      <c r="L76" s="2" cm="1">
        <f t="array" ref="L76">VLOOKUP(A76,$N$1:$O$100,{2},0)</f>
        <v>0.91400000000000003</v>
      </c>
      <c r="N76" s="8" t="s">
        <v>8</v>
      </c>
      <c r="O76" s="9">
        <v>0.88300000000000001</v>
      </c>
    </row>
    <row r="77" spans="1:15" ht="15" thickBot="1" x14ac:dyDescent="0.4">
      <c r="A77" s="1" t="s">
        <v>73</v>
      </c>
      <c r="B77" s="3">
        <v>3.73</v>
      </c>
      <c r="C77" s="3">
        <v>9.91</v>
      </c>
      <c r="D77" s="3">
        <v>7.15</v>
      </c>
      <c r="E77" s="3">
        <v>3.28</v>
      </c>
      <c r="F77" s="3">
        <v>2.93</v>
      </c>
      <c r="G77" s="3">
        <v>1.52</v>
      </c>
      <c r="H77" s="3">
        <v>14.52</v>
      </c>
      <c r="I77" s="3">
        <v>3.47</v>
      </c>
      <c r="J77" s="3">
        <f t="shared" si="4"/>
        <v>11.049999999999999</v>
      </c>
      <c r="K77" s="3">
        <f t="shared" si="5"/>
        <v>11.049999999999999</v>
      </c>
      <c r="L77" s="2" cm="1">
        <f t="array" ref="L77">VLOOKUP(A77,$N$1:$O$100,{2},0)</f>
        <v>0.89739999999999998</v>
      </c>
      <c r="N77" s="8" t="s">
        <v>83</v>
      </c>
      <c r="O77" s="9">
        <v>0.87519999999999998</v>
      </c>
    </row>
    <row r="78" spans="1:15" ht="15" thickBot="1" x14ac:dyDescent="0.4">
      <c r="A78" s="1" t="s">
        <v>40</v>
      </c>
      <c r="B78" s="3">
        <v>3.27</v>
      </c>
      <c r="C78" s="3">
        <v>10.39</v>
      </c>
      <c r="D78" s="3">
        <v>12.7</v>
      </c>
      <c r="E78" s="3">
        <v>1.34</v>
      </c>
      <c r="F78" s="3">
        <v>3.65</v>
      </c>
      <c r="G78" s="3">
        <v>0.6</v>
      </c>
      <c r="H78" s="3">
        <v>15.62</v>
      </c>
      <c r="I78" s="3">
        <v>4.6500000000000004</v>
      </c>
      <c r="J78" s="3">
        <f t="shared" si="4"/>
        <v>10.969999999999999</v>
      </c>
      <c r="K78" s="3">
        <f t="shared" si="5"/>
        <v>10.969999999999999</v>
      </c>
      <c r="L78" s="2" cm="1">
        <f t="array" ref="L78">VLOOKUP(A78,$N$1:$O$100,{2},0)</f>
        <v>0.93479999999999996</v>
      </c>
      <c r="N78" s="8" t="s">
        <v>25</v>
      </c>
      <c r="O78" s="9">
        <v>0.87180000000000002</v>
      </c>
    </row>
    <row r="79" spans="1:15" ht="15" thickBot="1" x14ac:dyDescent="0.4">
      <c r="A79" s="1" t="s">
        <v>98</v>
      </c>
      <c r="B79" s="3">
        <v>3.27</v>
      </c>
      <c r="C79" s="3">
        <v>10.39</v>
      </c>
      <c r="D79" s="3">
        <v>12.7</v>
      </c>
      <c r="E79" s="3">
        <v>1.34</v>
      </c>
      <c r="F79" s="3">
        <v>3.65</v>
      </c>
      <c r="G79" s="3">
        <v>0.71</v>
      </c>
      <c r="H79" s="3">
        <v>15.62</v>
      </c>
      <c r="I79" s="3">
        <v>4.6500000000000004</v>
      </c>
      <c r="J79" s="3">
        <f t="shared" si="4"/>
        <v>10.969999999999999</v>
      </c>
      <c r="K79" s="3">
        <f t="shared" si="5"/>
        <v>10.969999999999999</v>
      </c>
      <c r="L79" s="2" cm="1">
        <f t="array" ref="L79">VLOOKUP(A79,$N$1:$O$100,{2},0)</f>
        <v>0.93479999999999996</v>
      </c>
      <c r="N79" s="8" t="s">
        <v>21</v>
      </c>
      <c r="O79" s="9">
        <v>0.87019999999999997</v>
      </c>
    </row>
    <row r="80" spans="1:15" ht="15" thickBot="1" x14ac:dyDescent="0.4">
      <c r="A80" s="1" t="s">
        <v>25</v>
      </c>
      <c r="B80" s="3">
        <v>3.71</v>
      </c>
      <c r="C80" s="3">
        <v>10.36</v>
      </c>
      <c r="D80" s="3">
        <v>12.5</v>
      </c>
      <c r="E80" s="3">
        <v>0.46</v>
      </c>
      <c r="F80" s="3">
        <v>2.08</v>
      </c>
      <c r="G80" s="3">
        <v>1.59</v>
      </c>
      <c r="H80" s="3">
        <v>14.89</v>
      </c>
      <c r="I80" s="3">
        <v>4.0599999999999996</v>
      </c>
      <c r="J80" s="3">
        <f t="shared" si="4"/>
        <v>10.830000000000002</v>
      </c>
      <c r="K80" s="3">
        <f t="shared" si="5"/>
        <v>10.830000000000002</v>
      </c>
      <c r="L80" s="2" cm="1">
        <f t="array" ref="L80">VLOOKUP(A80,$N$1:$O$100,{2},0)</f>
        <v>0.87180000000000002</v>
      </c>
      <c r="N80" s="8" t="s">
        <v>12</v>
      </c>
      <c r="O80" s="9">
        <v>0.84630000000000005</v>
      </c>
    </row>
    <row r="81" spans="1:15" ht="15" thickBot="1" x14ac:dyDescent="0.4">
      <c r="A81" s="1" t="s">
        <v>55</v>
      </c>
      <c r="B81" s="3">
        <v>2.04</v>
      </c>
      <c r="C81" s="3">
        <v>5.86</v>
      </c>
      <c r="D81" s="3">
        <v>8</v>
      </c>
      <c r="E81" s="3">
        <v>6.45</v>
      </c>
      <c r="F81" s="3">
        <v>2.59</v>
      </c>
      <c r="G81" s="3">
        <v>1.04</v>
      </c>
      <c r="H81" s="3">
        <v>12.9</v>
      </c>
      <c r="I81" s="3">
        <v>2.13</v>
      </c>
      <c r="J81" s="3">
        <f t="shared" si="4"/>
        <v>10.77</v>
      </c>
      <c r="K81" s="3">
        <f t="shared" si="5"/>
        <v>10.77</v>
      </c>
      <c r="L81" s="2" cm="1">
        <f t="array" ref="L81">VLOOKUP(A81,$N$1:$O$100,{2},0)</f>
        <v>0.91100000000000003</v>
      </c>
      <c r="N81" s="8" t="s">
        <v>53</v>
      </c>
      <c r="O81" s="9">
        <v>0.84550000000000003</v>
      </c>
    </row>
    <row r="82" spans="1:15" ht="15" thickBot="1" x14ac:dyDescent="0.4">
      <c r="A82" s="1" t="s">
        <v>39</v>
      </c>
      <c r="B82" s="3">
        <v>4.3</v>
      </c>
      <c r="C82" s="3">
        <v>11.47</v>
      </c>
      <c r="D82" s="3">
        <v>11.48</v>
      </c>
      <c r="E82" s="3">
        <v>2.16</v>
      </c>
      <c r="F82" s="3">
        <v>4.3899999999999997</v>
      </c>
      <c r="G82" s="3">
        <v>1.3</v>
      </c>
      <c r="H82" s="3">
        <v>16.149999999999999</v>
      </c>
      <c r="I82" s="3">
        <v>5.42</v>
      </c>
      <c r="J82" s="3">
        <f t="shared" si="4"/>
        <v>10.729999999999999</v>
      </c>
      <c r="K82" s="3">
        <f t="shared" si="5"/>
        <v>10.729999999999999</v>
      </c>
      <c r="L82" s="2" cm="1">
        <f t="array" ref="L82">VLOOKUP(A82,$N$1:$O$100,{2},0)</f>
        <v>0.93410000000000004</v>
      </c>
      <c r="N82" s="8" t="s">
        <v>57</v>
      </c>
      <c r="O82" s="9">
        <v>0.84330000000000005</v>
      </c>
    </row>
    <row r="83" spans="1:15" ht="15" thickBot="1" x14ac:dyDescent="0.4">
      <c r="A83" s="1" t="s">
        <v>26</v>
      </c>
      <c r="B83" s="3">
        <v>3.83</v>
      </c>
      <c r="C83" s="3">
        <v>10.17</v>
      </c>
      <c r="D83" s="3">
        <v>11.82</v>
      </c>
      <c r="E83" s="3">
        <v>0.77</v>
      </c>
      <c r="F83" s="3">
        <v>3.35</v>
      </c>
      <c r="G83" s="3">
        <v>1.59</v>
      </c>
      <c r="H83" s="3">
        <v>15.04</v>
      </c>
      <c r="I83" s="3">
        <v>4.6100000000000003</v>
      </c>
      <c r="J83" s="3">
        <f t="shared" si="4"/>
        <v>10.43</v>
      </c>
      <c r="K83" s="3">
        <f t="shared" si="5"/>
        <v>10.43</v>
      </c>
      <c r="L83" s="2" cm="1">
        <f t="array" ref="L83">VLOOKUP(A83,$N$1:$O$100,{2},0)</f>
        <v>0.92749999999999999</v>
      </c>
      <c r="N83" s="8" t="s">
        <v>92</v>
      </c>
      <c r="O83" s="9">
        <v>0.84150000000000003</v>
      </c>
    </row>
    <row r="84" spans="1:15" ht="15" thickBot="1" x14ac:dyDescent="0.4">
      <c r="A84" s="1" t="s">
        <v>37</v>
      </c>
      <c r="B84" s="3">
        <v>4.6500000000000004</v>
      </c>
      <c r="C84" s="3">
        <v>11.09</v>
      </c>
      <c r="D84" s="3">
        <v>12.11</v>
      </c>
      <c r="E84" s="3">
        <v>2.78</v>
      </c>
      <c r="F84" s="3">
        <v>4.5199999999999996</v>
      </c>
      <c r="G84" s="3">
        <v>1.69</v>
      </c>
      <c r="H84" s="3">
        <v>15.46</v>
      </c>
      <c r="I84" s="3">
        <v>5.03</v>
      </c>
      <c r="J84" s="3">
        <f t="shared" si="4"/>
        <v>10.43</v>
      </c>
      <c r="K84" s="3">
        <f t="shared" si="5"/>
        <v>10.43</v>
      </c>
      <c r="L84" s="2" cm="1">
        <f t="array" ref="L84">VLOOKUP(A84,$N$1:$O$100,{2},0)</f>
        <v>0.9244</v>
      </c>
      <c r="N84" s="8" t="s">
        <v>87</v>
      </c>
      <c r="O84" s="9">
        <v>0.84089999999999998</v>
      </c>
    </row>
    <row r="85" spans="1:15" ht="15" thickBot="1" x14ac:dyDescent="0.4">
      <c r="A85" s="1" t="s">
        <v>89</v>
      </c>
      <c r="B85" s="3">
        <v>4.05</v>
      </c>
      <c r="C85" s="3">
        <v>9.44</v>
      </c>
      <c r="D85" s="3">
        <v>13.39</v>
      </c>
      <c r="E85" s="3">
        <v>3.26</v>
      </c>
      <c r="F85" s="3">
        <v>2.5099999999999998</v>
      </c>
      <c r="G85" s="3">
        <v>0.89</v>
      </c>
      <c r="H85" s="3">
        <v>16.14</v>
      </c>
      <c r="I85" s="3">
        <v>5.72</v>
      </c>
      <c r="J85" s="3">
        <f t="shared" si="4"/>
        <v>10.420000000000002</v>
      </c>
      <c r="K85" s="3">
        <f t="shared" si="5"/>
        <v>10.420000000000002</v>
      </c>
      <c r="L85" s="2" cm="1">
        <f t="array" ref="L85">VLOOKUP(A85,$N$1:$O$100,{2},0)</f>
        <v>0.9425</v>
      </c>
      <c r="N85" s="8" t="s">
        <v>38</v>
      </c>
      <c r="O85" s="9">
        <v>0.83879999999999999</v>
      </c>
    </row>
    <row r="86" spans="1:15" ht="15" thickBot="1" x14ac:dyDescent="0.4">
      <c r="A86" s="1" t="s">
        <v>17</v>
      </c>
      <c r="B86" s="3">
        <v>3.42</v>
      </c>
      <c r="C86" s="3">
        <v>10.35</v>
      </c>
      <c r="D86" s="3">
        <v>11.04</v>
      </c>
      <c r="E86" s="3">
        <v>0.64</v>
      </c>
      <c r="F86" s="3">
        <v>3.24</v>
      </c>
      <c r="G86" s="3">
        <v>1.05</v>
      </c>
      <c r="H86" s="3">
        <v>15.18</v>
      </c>
      <c r="I86" s="3">
        <v>5.12</v>
      </c>
      <c r="J86" s="3">
        <f t="shared" si="4"/>
        <v>10.059999999999999</v>
      </c>
      <c r="K86" s="3">
        <f t="shared" si="5"/>
        <v>10.059999999999999</v>
      </c>
      <c r="L86" s="2" cm="1">
        <f t="array" ref="L86">VLOOKUP(A86,$N$1:$O$100,{2},0)</f>
        <v>0.94350000000000001</v>
      </c>
      <c r="N86" s="8" t="s">
        <v>78</v>
      </c>
      <c r="O86" s="9">
        <v>0.82569999999999999</v>
      </c>
    </row>
    <row r="87" spans="1:15" ht="15" thickBot="1" x14ac:dyDescent="0.4">
      <c r="A87" s="1" t="s">
        <v>29</v>
      </c>
      <c r="B87" s="3">
        <v>3.04</v>
      </c>
      <c r="C87" s="3">
        <v>9.81</v>
      </c>
      <c r="D87" s="3">
        <v>9.6999999999999993</v>
      </c>
      <c r="E87" s="3">
        <v>1</v>
      </c>
      <c r="F87" s="3">
        <v>2.21</v>
      </c>
      <c r="G87" s="3">
        <v>2.21</v>
      </c>
      <c r="H87" s="3">
        <v>14.94</v>
      </c>
      <c r="I87" s="3">
        <v>4.91</v>
      </c>
      <c r="J87" s="3">
        <f t="shared" si="4"/>
        <v>10.029999999999999</v>
      </c>
      <c r="K87" s="3">
        <f t="shared" si="5"/>
        <v>10.029999999999999</v>
      </c>
      <c r="L87" s="2" cm="1">
        <f t="array" ref="L87">VLOOKUP(A87,$N$1:$O$100,{2},0)</f>
        <v>0.89049999999999996</v>
      </c>
      <c r="N87" s="8" t="s">
        <v>35</v>
      </c>
      <c r="O87" s="9">
        <v>0.82230000000000003</v>
      </c>
    </row>
    <row r="88" spans="1:15" ht="15" thickBot="1" x14ac:dyDescent="0.4">
      <c r="A88" s="1" t="s">
        <v>11</v>
      </c>
      <c r="B88" s="3">
        <v>1.71</v>
      </c>
      <c r="C88" s="3">
        <v>12.48</v>
      </c>
      <c r="D88" s="3">
        <v>17.04</v>
      </c>
      <c r="E88" s="3">
        <v>2.38</v>
      </c>
      <c r="F88" s="3">
        <v>6.28</v>
      </c>
      <c r="G88" s="3">
        <v>0.62</v>
      </c>
      <c r="H88" s="3">
        <v>15.84</v>
      </c>
      <c r="I88" s="3">
        <v>5.87</v>
      </c>
      <c r="J88" s="3">
        <f t="shared" si="4"/>
        <v>9.9699999999999989</v>
      </c>
      <c r="K88" s="3">
        <f t="shared" si="5"/>
        <v>9.9699999999999989</v>
      </c>
      <c r="L88" s="2" cm="1">
        <f t="array" ref="L88">VLOOKUP(A88,$N$1:$O$100,{2},0)</f>
        <v>0.8125</v>
      </c>
      <c r="N88" s="8" t="s">
        <v>79</v>
      </c>
      <c r="O88" s="9">
        <v>0.81640000000000001</v>
      </c>
    </row>
    <row r="89" spans="1:15" ht="15" thickBot="1" x14ac:dyDescent="0.4">
      <c r="A89" s="1" t="s">
        <v>23</v>
      </c>
      <c r="B89" s="3">
        <v>3.99</v>
      </c>
      <c r="C89" s="3">
        <v>10.51</v>
      </c>
      <c r="D89" s="3">
        <v>12.36</v>
      </c>
      <c r="E89" s="3">
        <v>2.58</v>
      </c>
      <c r="F89" s="3">
        <v>4.03</v>
      </c>
      <c r="G89" s="3">
        <v>1.22</v>
      </c>
      <c r="H89" s="3">
        <v>15.01</v>
      </c>
      <c r="I89" s="3">
        <v>5.04</v>
      </c>
      <c r="J89" s="3">
        <f t="shared" si="4"/>
        <v>9.9699999999999989</v>
      </c>
      <c r="K89" s="3">
        <f t="shared" si="5"/>
        <v>9.9699999999999989</v>
      </c>
      <c r="L89" s="2" cm="1">
        <f t="array" ref="L89">VLOOKUP(A89,$N$1:$O$100,{2},0)</f>
        <v>0.92190000000000005</v>
      </c>
      <c r="N89" s="8" t="s">
        <v>11</v>
      </c>
      <c r="O89" s="9">
        <v>0.8125</v>
      </c>
    </row>
    <row r="90" spans="1:15" ht="15" thickBot="1" x14ac:dyDescent="0.4">
      <c r="A90" s="1" t="s">
        <v>45</v>
      </c>
      <c r="B90" s="3">
        <v>9.6300000000000008</v>
      </c>
      <c r="C90" s="3">
        <v>10.28</v>
      </c>
      <c r="D90" s="3">
        <v>11.35</v>
      </c>
      <c r="E90" s="3">
        <v>5.12</v>
      </c>
      <c r="F90" s="3">
        <v>4.6399999999999997</v>
      </c>
      <c r="G90" s="3">
        <v>1.5</v>
      </c>
      <c r="H90" s="3">
        <v>16.690000000000001</v>
      </c>
      <c r="I90" s="3">
        <v>6.75</v>
      </c>
      <c r="J90" s="3">
        <f t="shared" si="4"/>
        <v>9.9400000000000013</v>
      </c>
      <c r="K90" s="3">
        <f t="shared" si="5"/>
        <v>9.9400000000000013</v>
      </c>
      <c r="L90" s="2" cm="1">
        <f t="array" ref="L90">VLOOKUP(A90,$N$1:$O$100,{2},0)</f>
        <v>0.93700000000000006</v>
      </c>
      <c r="N90" s="8" t="s">
        <v>56</v>
      </c>
      <c r="O90" s="9">
        <v>0.71730000000000005</v>
      </c>
    </row>
    <row r="91" spans="1:15" ht="15" thickBot="1" x14ac:dyDescent="0.4">
      <c r="A91" s="1" t="s">
        <v>85</v>
      </c>
      <c r="B91" s="3">
        <v>4.3</v>
      </c>
      <c r="C91" s="3">
        <v>11.16</v>
      </c>
      <c r="D91" s="3">
        <v>13.94</v>
      </c>
      <c r="E91" s="3">
        <v>1.5</v>
      </c>
      <c r="F91" s="3">
        <v>5.17</v>
      </c>
      <c r="G91" s="3">
        <v>0.95</v>
      </c>
      <c r="H91" s="3">
        <v>15.58</v>
      </c>
      <c r="I91" s="3">
        <v>5.68</v>
      </c>
      <c r="J91" s="3">
        <f t="shared" si="4"/>
        <v>9.9</v>
      </c>
      <c r="K91" s="3">
        <f t="shared" si="5"/>
        <v>9.9</v>
      </c>
      <c r="L91" s="2" cm="1">
        <f t="array" ref="L91">VLOOKUP(A91,$N$1:$O$100,{2},0)</f>
        <v>0.93600000000000005</v>
      </c>
      <c r="N91" s="8" t="s">
        <v>68</v>
      </c>
      <c r="O91" s="9">
        <v>0.71730000000000005</v>
      </c>
    </row>
    <row r="92" spans="1:15" ht="15" thickBot="1" x14ac:dyDescent="0.4">
      <c r="A92" s="1" t="s">
        <v>28</v>
      </c>
      <c r="B92" s="3">
        <v>3.35</v>
      </c>
      <c r="C92" s="3">
        <v>9.76</v>
      </c>
      <c r="D92" s="3">
        <v>11.1</v>
      </c>
      <c r="E92" s="3">
        <v>0.87</v>
      </c>
      <c r="F92" s="3">
        <v>3.37</v>
      </c>
      <c r="G92" s="3">
        <v>0.86</v>
      </c>
      <c r="H92" s="3">
        <v>15.09</v>
      </c>
      <c r="I92" s="3">
        <v>5.38</v>
      </c>
      <c r="J92" s="3">
        <f t="shared" si="4"/>
        <v>9.7100000000000009</v>
      </c>
      <c r="K92" s="3">
        <f t="shared" si="5"/>
        <v>9.7100000000000009</v>
      </c>
      <c r="L92" s="2" cm="1">
        <f t="array" ref="L92">VLOOKUP(A92,$N$1:$O$100,{2},0)</f>
        <v>0.94169999999999998</v>
      </c>
      <c r="N92" s="8" t="s">
        <v>66</v>
      </c>
      <c r="O92" s="9">
        <v>0.495</v>
      </c>
    </row>
    <row r="93" spans="1:15" ht="15" thickBot="1" x14ac:dyDescent="0.4">
      <c r="A93" s="1" t="s">
        <v>65</v>
      </c>
      <c r="B93" s="3">
        <v>3.59</v>
      </c>
      <c r="C93" s="3">
        <v>10.9</v>
      </c>
      <c r="D93" s="3">
        <v>13.22</v>
      </c>
      <c r="E93" s="3">
        <v>3.37</v>
      </c>
      <c r="F93" s="3">
        <v>4.17</v>
      </c>
      <c r="G93" s="3">
        <v>0.77</v>
      </c>
      <c r="H93" s="3">
        <v>13.97</v>
      </c>
      <c r="I93" s="3">
        <v>4.41</v>
      </c>
      <c r="J93" s="3">
        <f t="shared" si="4"/>
        <v>9.56</v>
      </c>
      <c r="K93" s="3">
        <f t="shared" si="5"/>
        <v>9.56</v>
      </c>
      <c r="L93" s="2" cm="1">
        <f t="array" ref="L93">VLOOKUP(A93,$N$1:$O$100,{2},0)</f>
        <v>0.93879999999999997</v>
      </c>
      <c r="N93" s="8" t="s">
        <v>74</v>
      </c>
      <c r="O93" s="9">
        <v>0</v>
      </c>
    </row>
    <row r="94" spans="1:15" ht="15" thickBot="1" x14ac:dyDescent="0.4">
      <c r="A94" s="1" t="s">
        <v>47</v>
      </c>
      <c r="B94" s="3">
        <v>2.5099999999999998</v>
      </c>
      <c r="C94" s="3">
        <v>10.19</v>
      </c>
      <c r="D94" s="3">
        <v>10.93</v>
      </c>
      <c r="E94" s="3">
        <v>3.33</v>
      </c>
      <c r="F94" s="3">
        <v>4.37</v>
      </c>
      <c r="G94" s="3">
        <v>0.56000000000000005</v>
      </c>
      <c r="H94" s="3">
        <v>12.69</v>
      </c>
      <c r="I94" s="3">
        <v>4.3899999999999997</v>
      </c>
      <c r="J94" s="3">
        <f t="shared" si="4"/>
        <v>8.3000000000000007</v>
      </c>
      <c r="K94" s="3">
        <f t="shared" si="5"/>
        <v>8.3000000000000007</v>
      </c>
      <c r="L94" s="2" cm="1">
        <f t="array" ref="L94">VLOOKUP(A94,$N$1:$O$100,{2},0)</f>
        <v>0.93769999999999998</v>
      </c>
      <c r="N94" s="8" t="s">
        <v>3</v>
      </c>
      <c r="O94" s="9">
        <v>0</v>
      </c>
    </row>
    <row r="95" spans="1:15" ht="15" thickBot="1" x14ac:dyDescent="0.4">
      <c r="A95" s="1" t="s">
        <v>48</v>
      </c>
      <c r="B95" s="3">
        <v>3.43</v>
      </c>
      <c r="C95" s="3">
        <v>9.76</v>
      </c>
      <c r="D95" s="3">
        <v>10.58</v>
      </c>
      <c r="E95" s="3">
        <v>2.3199999999999998</v>
      </c>
      <c r="F95" s="3">
        <v>2.7</v>
      </c>
      <c r="G95" s="3">
        <v>2.3199999999999998</v>
      </c>
      <c r="H95" s="3">
        <v>15.94</v>
      </c>
      <c r="I95" s="3">
        <v>7.66</v>
      </c>
      <c r="J95" s="3">
        <f t="shared" si="4"/>
        <v>8.2799999999999994</v>
      </c>
      <c r="K95" s="3">
        <f t="shared" si="5"/>
        <v>8.2799999999999994</v>
      </c>
      <c r="L95" s="2" cm="1">
        <f t="array" ref="L95">VLOOKUP(A95,$N$1:$O$100,{2},0)</f>
        <v>0.93469999999999998</v>
      </c>
      <c r="N95" s="10" t="s">
        <v>4</v>
      </c>
      <c r="O95" s="11">
        <v>0</v>
      </c>
    </row>
    <row r="96" spans="1:15" ht="15" thickBot="1" x14ac:dyDescent="0.4">
      <c r="A96" s="1" t="s">
        <v>81</v>
      </c>
      <c r="B96" s="3">
        <v>3.2</v>
      </c>
      <c r="C96" s="3">
        <v>10.87</v>
      </c>
      <c r="D96" s="3">
        <v>11.15</v>
      </c>
      <c r="E96" s="3">
        <v>2.4700000000000002</v>
      </c>
      <c r="F96" s="3">
        <v>4.9400000000000004</v>
      </c>
      <c r="G96" s="3">
        <v>1.8</v>
      </c>
      <c r="H96" s="3">
        <v>12.79</v>
      </c>
      <c r="I96" s="3">
        <v>4.78</v>
      </c>
      <c r="J96" s="3">
        <f t="shared" si="4"/>
        <v>8.009999999999998</v>
      </c>
      <c r="K96" s="3">
        <f t="shared" si="5"/>
        <v>8.009999999999998</v>
      </c>
      <c r="L96" s="2" cm="1">
        <f t="array" ref="L96">VLOOKUP(A96,$N$1:$O$100,{2},0)</f>
        <v>0.92390000000000005</v>
      </c>
      <c r="N96" s="8" t="s">
        <v>64</v>
      </c>
      <c r="O96" s="9">
        <v>-0.113</v>
      </c>
    </row>
    <row r="97" spans="1:15" ht="15" thickBot="1" x14ac:dyDescent="0.4">
      <c r="A97" s="1" t="s">
        <v>61</v>
      </c>
      <c r="B97" s="3">
        <v>4.4000000000000004</v>
      </c>
      <c r="C97" s="3">
        <v>10.65</v>
      </c>
      <c r="D97" s="3">
        <v>9.07</v>
      </c>
      <c r="E97" s="3">
        <v>2.35</v>
      </c>
      <c r="F97" s="3">
        <v>6.41</v>
      </c>
      <c r="G97" s="3">
        <v>2.23</v>
      </c>
      <c r="H97" s="3">
        <v>15.11</v>
      </c>
      <c r="I97" s="3">
        <v>7.82</v>
      </c>
      <c r="J97" s="3">
        <f t="shared" si="4"/>
        <v>7.2899999999999991</v>
      </c>
      <c r="K97" s="3">
        <f t="shared" si="5"/>
        <v>7.2899999999999991</v>
      </c>
      <c r="L97" s="2" cm="1">
        <f t="array" ref="L97">VLOOKUP(A97,$N$1:$O$100,{2},0)</f>
        <v>0.94240000000000002</v>
      </c>
      <c r="N97" s="8" t="s">
        <v>5</v>
      </c>
      <c r="O97" s="9">
        <v>-0.20039999999999999</v>
      </c>
    </row>
    <row r="98" spans="1:15" ht="15" thickBot="1" x14ac:dyDescent="0.4">
      <c r="A98" s="1" t="s">
        <v>99</v>
      </c>
      <c r="B98" s="3">
        <v>1.88</v>
      </c>
      <c r="C98" s="3">
        <v>11.56</v>
      </c>
      <c r="D98" s="3">
        <v>10.92</v>
      </c>
      <c r="E98" s="3">
        <v>6.57</v>
      </c>
      <c r="F98" s="3">
        <v>7.78</v>
      </c>
      <c r="G98" s="3">
        <v>2.39</v>
      </c>
      <c r="H98" s="3">
        <v>15.03</v>
      </c>
      <c r="I98" s="3">
        <v>7.75</v>
      </c>
      <c r="J98" s="3">
        <f t="shared" ref="J98:J129" si="6">(H98-I98)</f>
        <v>7.2799999999999994</v>
      </c>
      <c r="K98" s="3">
        <f t="shared" ref="K98:K129" si="7">ABS(J98)</f>
        <v>7.2799999999999994</v>
      </c>
      <c r="L98" s="2" cm="1">
        <f t="array" ref="L98">VLOOKUP(A98,$N$1:$O$100,{2},0)</f>
        <v>0.92090000000000005</v>
      </c>
      <c r="N98" s="8" t="s">
        <v>36</v>
      </c>
      <c r="O98" s="9">
        <v>-0.29930000000000001</v>
      </c>
    </row>
    <row r="99" spans="1:15" ht="15" thickBot="1" x14ac:dyDescent="0.4">
      <c r="A99" s="1" t="s">
        <v>31</v>
      </c>
      <c r="B99" s="3">
        <v>0</v>
      </c>
      <c r="C99" s="3">
        <v>0</v>
      </c>
      <c r="D99" s="3">
        <v>0</v>
      </c>
      <c r="E99" s="3">
        <v>0</v>
      </c>
      <c r="F99" s="3">
        <v>4.0999999999999996</v>
      </c>
      <c r="G99" s="3">
        <v>1.2</v>
      </c>
      <c r="H99" s="3">
        <v>0.67</v>
      </c>
      <c r="I99" s="3">
        <v>3.51</v>
      </c>
      <c r="J99" s="3">
        <f t="shared" si="6"/>
        <v>-2.84</v>
      </c>
      <c r="K99" s="3">
        <f t="shared" si="7"/>
        <v>2.84</v>
      </c>
      <c r="L99" s="2" cm="1">
        <f t="array" ref="L99">VLOOKUP(A99,$N$1:$O$100,{2},0)</f>
        <v>-1.8655999999999999</v>
      </c>
      <c r="N99" s="8" t="s">
        <v>31</v>
      </c>
      <c r="O99" s="9">
        <v>-1.8655999999999999</v>
      </c>
    </row>
    <row r="100" spans="1:15" ht="15" thickBot="1" x14ac:dyDescent="0.4">
      <c r="A100" s="1" t="s">
        <v>44</v>
      </c>
      <c r="B100" s="3">
        <v>0</v>
      </c>
      <c r="C100" s="3">
        <v>4.0999999999999996</v>
      </c>
      <c r="D100" s="3">
        <v>7.83</v>
      </c>
      <c r="E100" s="3">
        <v>6.04</v>
      </c>
      <c r="F100" s="3">
        <v>5.26</v>
      </c>
      <c r="G100" s="3">
        <v>0.63</v>
      </c>
      <c r="H100" s="3">
        <v>6.32</v>
      </c>
      <c r="I100" s="3">
        <v>4.1500000000000004</v>
      </c>
      <c r="J100" s="3">
        <f t="shared" si="6"/>
        <v>2.17</v>
      </c>
      <c r="K100" s="3">
        <f t="shared" si="7"/>
        <v>2.17</v>
      </c>
      <c r="L100" s="2" cm="1">
        <f t="array" ref="L100">VLOOKUP(A100,$N$1:$O$100,{2},0)</f>
        <v>0.94179999999999997</v>
      </c>
      <c r="N100" s="8" t="s">
        <v>7</v>
      </c>
      <c r="O100" s="9">
        <v>-2.1861000000000002</v>
      </c>
    </row>
    <row r="101" spans="1:15" x14ac:dyDescent="0.35">
      <c r="A101" s="1" t="s">
        <v>104</v>
      </c>
      <c r="B101" s="3">
        <v>0</v>
      </c>
      <c r="C101" s="3">
        <v>4.0999999999999996</v>
      </c>
      <c r="D101" s="3">
        <v>7.83</v>
      </c>
      <c r="E101" s="3">
        <v>6.04</v>
      </c>
      <c r="F101" s="3">
        <v>5.26</v>
      </c>
      <c r="G101" s="3">
        <v>1.73</v>
      </c>
      <c r="H101" s="3">
        <v>6.32</v>
      </c>
      <c r="I101" s="3">
        <v>4.1500000000000004</v>
      </c>
      <c r="J101" s="3">
        <f t="shared" si="6"/>
        <v>2.17</v>
      </c>
      <c r="K101" s="3">
        <f t="shared" si="7"/>
        <v>2.17</v>
      </c>
      <c r="L101" s="2" cm="1">
        <f t="array" ref="L101">VLOOKUP(A101,$N$1:$O$100,{2},0)</f>
        <v>0.94179999999999997</v>
      </c>
    </row>
    <row r="102" spans="1:15" x14ac:dyDescent="0.35">
      <c r="A102" s="1" t="s">
        <v>64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5.84</v>
      </c>
      <c r="H102" s="3">
        <v>0</v>
      </c>
      <c r="I102" s="3">
        <v>1.82</v>
      </c>
      <c r="J102" s="3">
        <f t="shared" si="6"/>
        <v>-1.82</v>
      </c>
      <c r="K102" s="3">
        <f t="shared" si="7"/>
        <v>1.82</v>
      </c>
      <c r="L102" s="2" cm="1">
        <f t="array" ref="L102">VLOOKUP(A102,$N$1:$O$100,{2},0)</f>
        <v>-0.113</v>
      </c>
    </row>
    <row r="103" spans="1:15" x14ac:dyDescent="0.35">
      <c r="A103" s="1" t="s">
        <v>36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1.55</v>
      </c>
      <c r="H103" s="3">
        <v>0</v>
      </c>
      <c r="I103" s="3">
        <v>1.17</v>
      </c>
      <c r="J103" s="3">
        <f t="shared" si="6"/>
        <v>-1.17</v>
      </c>
      <c r="K103" s="3">
        <f t="shared" si="7"/>
        <v>1.17</v>
      </c>
      <c r="L103" s="2" cm="1">
        <f t="array" ref="L103">VLOOKUP(A103,$N$1:$O$100,{2},0)</f>
        <v>-0.29930000000000001</v>
      </c>
    </row>
    <row r="104" spans="1:15" x14ac:dyDescent="0.35">
      <c r="A104" s="1" t="s">
        <v>7</v>
      </c>
      <c r="B104" s="3">
        <v>0</v>
      </c>
      <c r="C104" s="3">
        <v>0</v>
      </c>
      <c r="D104" s="3">
        <v>0.55000000000000004</v>
      </c>
      <c r="E104" s="3">
        <v>2.2799999999999998</v>
      </c>
      <c r="F104" s="3">
        <v>2.5099999999999998</v>
      </c>
      <c r="G104" s="3">
        <v>2.62</v>
      </c>
      <c r="H104" s="3">
        <v>2.77</v>
      </c>
      <c r="I104" s="3">
        <v>3.67</v>
      </c>
      <c r="J104" s="3">
        <f t="shared" si="6"/>
        <v>-0.89999999999999991</v>
      </c>
      <c r="K104" s="3">
        <f t="shared" si="7"/>
        <v>0.89999999999999991</v>
      </c>
      <c r="L104" s="2" cm="1">
        <f t="array" ref="L104">VLOOKUP(A104,$N$1:$O$100,{2},0)</f>
        <v>-2.1861000000000002</v>
      </c>
    </row>
    <row r="105" spans="1:15" x14ac:dyDescent="0.35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5" x14ac:dyDescent="0.35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5" x14ac:dyDescent="0.35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5" x14ac:dyDescent="0.35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5" x14ac:dyDescent="0.35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5" x14ac:dyDescent="0.35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5" x14ac:dyDescent="0.35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5" x14ac:dyDescent="0.35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 x14ac:dyDescent="0.35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 x14ac:dyDescent="0.35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 x14ac:dyDescent="0.35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 x14ac:dyDescent="0.35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11" x14ac:dyDescent="0.35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 x14ac:dyDescent="0.35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11" x14ac:dyDescent="0.35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11" x14ac:dyDescent="0.35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spans="1:11" x14ac:dyDescent="0.35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11" x14ac:dyDescent="0.35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11" x14ac:dyDescent="0.35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 x14ac:dyDescent="0.35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11" x14ac:dyDescent="0.35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 x14ac:dyDescent="0.35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1:11" x14ac:dyDescent="0.35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11" x14ac:dyDescent="0.35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 x14ac:dyDescent="0.35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1:11" x14ac:dyDescent="0.35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1:11" x14ac:dyDescent="0.35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 x14ac:dyDescent="0.35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 x14ac:dyDescent="0.35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 x14ac:dyDescent="0.35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 x14ac:dyDescent="0.35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1:11" x14ac:dyDescent="0.35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spans="1:11" x14ac:dyDescent="0.35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1:11" x14ac:dyDescent="0.35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spans="1:11" x14ac:dyDescent="0.35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spans="1:11" x14ac:dyDescent="0.35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spans="1:11" x14ac:dyDescent="0.35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spans="1:11" x14ac:dyDescent="0.35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spans="1:11" x14ac:dyDescent="0.35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spans="1:11" x14ac:dyDescent="0.35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spans="1:11" x14ac:dyDescent="0.35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spans="1:11" x14ac:dyDescent="0.35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spans="1:11" x14ac:dyDescent="0.35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spans="1:11" x14ac:dyDescent="0.35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spans="1:11" x14ac:dyDescent="0.35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spans="1:11" x14ac:dyDescent="0.35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spans="1:11" x14ac:dyDescent="0.35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spans="1:11" x14ac:dyDescent="0.35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spans="1:11" x14ac:dyDescent="0.35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spans="1:11" x14ac:dyDescent="0.35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spans="1:11" x14ac:dyDescent="0.35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spans="1:11" x14ac:dyDescent="0.35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spans="1:11" x14ac:dyDescent="0.35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spans="1:11" x14ac:dyDescent="0.35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spans="1:11" x14ac:dyDescent="0.35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spans="1:11" x14ac:dyDescent="0.35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spans="1:11" x14ac:dyDescent="0.35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spans="1:11" x14ac:dyDescent="0.35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spans="1:11" x14ac:dyDescent="0.35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spans="1:11" x14ac:dyDescent="0.35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spans="1:11" x14ac:dyDescent="0.35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spans="1:11" x14ac:dyDescent="0.35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spans="1:11" x14ac:dyDescent="0.35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spans="1:11" x14ac:dyDescent="0.35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spans="1:11" x14ac:dyDescent="0.35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spans="1:11" x14ac:dyDescent="0.35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spans="1:11" x14ac:dyDescent="0.35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spans="1:11" x14ac:dyDescent="0.35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spans="1:11" x14ac:dyDescent="0.35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spans="1:11" x14ac:dyDescent="0.35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spans="1:11" x14ac:dyDescent="0.35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spans="1:11" x14ac:dyDescent="0.35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spans="1:11" x14ac:dyDescent="0.35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spans="1:11" x14ac:dyDescent="0.35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spans="1:11" x14ac:dyDescent="0.35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spans="1:11" x14ac:dyDescent="0.35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spans="1:11" x14ac:dyDescent="0.35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spans="1:11" x14ac:dyDescent="0.35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spans="1:11" x14ac:dyDescent="0.35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spans="1:11" x14ac:dyDescent="0.35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spans="1:11" x14ac:dyDescent="0.3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spans="1:11" x14ac:dyDescent="0.35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spans="1:11" x14ac:dyDescent="0.35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spans="1:11" x14ac:dyDescent="0.35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spans="1:11" x14ac:dyDescent="0.35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spans="1:11" x14ac:dyDescent="0.35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spans="1:11" x14ac:dyDescent="0.35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spans="1:11" x14ac:dyDescent="0.35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spans="1:11" x14ac:dyDescent="0.35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spans="1:11" x14ac:dyDescent="0.35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spans="1:11" x14ac:dyDescent="0.35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spans="1:11" x14ac:dyDescent="0.35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spans="1:11" x14ac:dyDescent="0.35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spans="1:11" x14ac:dyDescent="0.35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spans="1:11" x14ac:dyDescent="0.35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spans="1:11" x14ac:dyDescent="0.35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spans="1:11" x14ac:dyDescent="0.35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spans="1:11" x14ac:dyDescent="0.35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 spans="1:11" x14ac:dyDescent="0.35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 spans="1:11" x14ac:dyDescent="0.35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 spans="1:11" x14ac:dyDescent="0.35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 spans="1:11" x14ac:dyDescent="0.35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 spans="1:11" x14ac:dyDescent="0.35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 spans="1:11" x14ac:dyDescent="0.35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 spans="1:11" x14ac:dyDescent="0.35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 spans="1:11" x14ac:dyDescent="0.35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 spans="1:11" x14ac:dyDescent="0.35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spans="1:11" x14ac:dyDescent="0.35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 spans="1:11" x14ac:dyDescent="0.35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 spans="1:11" x14ac:dyDescent="0.35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 spans="1:11" x14ac:dyDescent="0.35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 spans="1:11" x14ac:dyDescent="0.35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 spans="1:11" x14ac:dyDescent="0.35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 spans="1:11" x14ac:dyDescent="0.35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 spans="1:11" x14ac:dyDescent="0.35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 spans="1:11" x14ac:dyDescent="0.35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 spans="1:11" x14ac:dyDescent="0.35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 spans="1:11" x14ac:dyDescent="0.35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</row>
    <row r="223" spans="1:11" x14ac:dyDescent="0.35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 spans="1:11" x14ac:dyDescent="0.35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5"/>
    </row>
    <row r="225" spans="1:11" x14ac:dyDescent="0.35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 spans="1:11" x14ac:dyDescent="0.35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 spans="1:11" x14ac:dyDescent="0.35">
      <c r="A227" s="4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 spans="1:11" x14ac:dyDescent="0.35">
      <c r="A228" s="4"/>
      <c r="B228" s="5"/>
      <c r="C228" s="5"/>
      <c r="D228" s="5"/>
      <c r="E228" s="5"/>
      <c r="F228" s="5"/>
      <c r="G228" s="5"/>
      <c r="H228" s="5"/>
      <c r="I228" s="5"/>
      <c r="J228" s="5"/>
      <c r="K228" s="5"/>
    </row>
    <row r="229" spans="1:11" x14ac:dyDescent="0.35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 spans="1:11" x14ac:dyDescent="0.35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 spans="1:11" x14ac:dyDescent="0.35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 spans="1:11" x14ac:dyDescent="0.35">
      <c r="A232" s="4"/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3" spans="1:11" x14ac:dyDescent="0.35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 spans="1:11" x14ac:dyDescent="0.35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 spans="1:11" x14ac:dyDescent="0.35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 spans="1:11" x14ac:dyDescent="0.35">
      <c r="A236" s="4"/>
      <c r="B236" s="5"/>
      <c r="C236" s="5"/>
      <c r="D236" s="5"/>
      <c r="E236" s="5"/>
      <c r="F236" s="5"/>
      <c r="G236" s="5"/>
      <c r="H236" s="5"/>
      <c r="I236" s="5"/>
      <c r="J236" s="5"/>
      <c r="K236" s="5"/>
    </row>
    <row r="237" spans="1:11" x14ac:dyDescent="0.35">
      <c r="A237" s="4"/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 spans="1:11" x14ac:dyDescent="0.35">
      <c r="A238" s="4"/>
      <c r="B238" s="5"/>
      <c r="C238" s="5"/>
      <c r="D238" s="5"/>
      <c r="E238" s="5"/>
      <c r="F238" s="5"/>
      <c r="G238" s="5"/>
      <c r="H238" s="5"/>
      <c r="I238" s="5"/>
      <c r="J238" s="5"/>
      <c r="K238" s="5"/>
    </row>
    <row r="239" spans="1:11" x14ac:dyDescent="0.35">
      <c r="A239" s="4"/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 spans="1:11" x14ac:dyDescent="0.35">
      <c r="A240" s="4"/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 spans="1:11" x14ac:dyDescent="0.35">
      <c r="A241" s="4"/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 spans="1:11" x14ac:dyDescent="0.35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5"/>
    </row>
    <row r="243" spans="1:11" x14ac:dyDescent="0.35">
      <c r="A243" s="4"/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 spans="1:11" x14ac:dyDescent="0.35">
      <c r="A244" s="4"/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 spans="1:11" x14ac:dyDescent="0.35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5"/>
    </row>
    <row r="246" spans="1:11" x14ac:dyDescent="0.35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5"/>
    </row>
    <row r="247" spans="1:11" x14ac:dyDescent="0.35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 spans="1:11" x14ac:dyDescent="0.35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5"/>
    </row>
    <row r="249" spans="1:11" x14ac:dyDescent="0.35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 spans="1:11" x14ac:dyDescent="0.35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5"/>
    </row>
    <row r="251" spans="1:11" x14ac:dyDescent="0.35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5"/>
    </row>
    <row r="252" spans="1:11" x14ac:dyDescent="0.35">
      <c r="A252" s="4"/>
      <c r="B252" s="5"/>
      <c r="C252" s="5"/>
      <c r="D252" s="5"/>
      <c r="E252" s="5"/>
      <c r="F252" s="5"/>
      <c r="G252" s="5"/>
      <c r="H252" s="5"/>
      <c r="I252" s="5"/>
      <c r="J252" s="5"/>
      <c r="K252" s="5"/>
    </row>
    <row r="253" spans="1:11" x14ac:dyDescent="0.35">
      <c r="A253" s="4"/>
      <c r="B253" s="5"/>
      <c r="C253" s="5"/>
      <c r="D253" s="5"/>
      <c r="E253" s="5"/>
      <c r="F253" s="5"/>
      <c r="G253" s="5"/>
      <c r="H253" s="5"/>
      <c r="I253" s="5"/>
      <c r="J253" s="5"/>
      <c r="K253" s="5"/>
    </row>
    <row r="254" spans="1:11" x14ac:dyDescent="0.35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 spans="1:11" x14ac:dyDescent="0.35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 spans="1:11" x14ac:dyDescent="0.35">
      <c r="A256" s="4"/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 spans="1:11" x14ac:dyDescent="0.35">
      <c r="A257" s="4"/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 spans="1:11" x14ac:dyDescent="0.35">
      <c r="A258" s="4"/>
      <c r="B258" s="5"/>
      <c r="C258" s="5"/>
      <c r="D258" s="5"/>
      <c r="E258" s="5"/>
      <c r="F258" s="5"/>
      <c r="G258" s="5"/>
      <c r="H258" s="5"/>
      <c r="I258" s="5"/>
      <c r="J258" s="5"/>
      <c r="K258" s="5"/>
    </row>
    <row r="259" spans="1:11" x14ac:dyDescent="0.35">
      <c r="A259" s="4"/>
      <c r="B259" s="5"/>
      <c r="C259" s="5"/>
      <c r="D259" s="5"/>
      <c r="E259" s="5"/>
      <c r="F259" s="5"/>
      <c r="G259" s="5"/>
      <c r="H259" s="5"/>
      <c r="I259" s="5"/>
      <c r="J259" s="5"/>
      <c r="K259" s="5"/>
    </row>
    <row r="260" spans="1:11" x14ac:dyDescent="0.35">
      <c r="A260" s="4"/>
      <c r="B260" s="5"/>
      <c r="C260" s="5"/>
      <c r="D260" s="5"/>
      <c r="E260" s="5"/>
      <c r="F260" s="5"/>
      <c r="G260" s="5"/>
      <c r="H260" s="5"/>
      <c r="I260" s="5"/>
      <c r="J260" s="5"/>
      <c r="K260" s="5"/>
    </row>
    <row r="261" spans="1:11" x14ac:dyDescent="0.35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5"/>
    </row>
    <row r="262" spans="1:11" x14ac:dyDescent="0.35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5"/>
    </row>
    <row r="263" spans="1:11" x14ac:dyDescent="0.35">
      <c r="A263" s="4"/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 spans="1:11" x14ac:dyDescent="0.35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 spans="1:11" x14ac:dyDescent="0.35">
      <c r="A265" s="4"/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 spans="1:11" x14ac:dyDescent="0.35">
      <c r="A266" s="4"/>
      <c r="B266" s="5"/>
      <c r="C266" s="5"/>
      <c r="D266" s="5"/>
      <c r="E266" s="5"/>
      <c r="F266" s="5"/>
      <c r="G266" s="5"/>
      <c r="H266" s="5"/>
      <c r="I266" s="5"/>
      <c r="J266" s="5"/>
      <c r="K266" s="5"/>
    </row>
    <row r="267" spans="1:11" x14ac:dyDescent="0.35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 spans="1:11" x14ac:dyDescent="0.35">
      <c r="A268" s="4"/>
      <c r="B268" s="5"/>
      <c r="C268" s="5"/>
      <c r="D268" s="5"/>
      <c r="E268" s="5"/>
      <c r="F268" s="5"/>
      <c r="G268" s="5"/>
      <c r="H268" s="5"/>
      <c r="I268" s="5"/>
      <c r="J268" s="5"/>
      <c r="K268" s="5"/>
    </row>
    <row r="269" spans="1:11" x14ac:dyDescent="0.35">
      <c r="A269" s="4"/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 spans="1:11" x14ac:dyDescent="0.35">
      <c r="A270" s="4"/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 spans="1:11" x14ac:dyDescent="0.35">
      <c r="A271" s="4"/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 spans="1:11" x14ac:dyDescent="0.35">
      <c r="A272" s="4"/>
      <c r="B272" s="5"/>
      <c r="C272" s="5"/>
      <c r="D272" s="5"/>
      <c r="E272" s="5"/>
      <c r="F272" s="5"/>
      <c r="G272" s="5"/>
      <c r="H272" s="5"/>
      <c r="I272" s="5"/>
      <c r="J272" s="5"/>
      <c r="K272" s="5"/>
    </row>
    <row r="273" spans="1:11" x14ac:dyDescent="0.35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 spans="1:11" x14ac:dyDescent="0.35">
      <c r="A274" s="4"/>
      <c r="B274" s="5"/>
      <c r="C274" s="5"/>
      <c r="D274" s="5"/>
      <c r="E274" s="5"/>
      <c r="F274" s="5"/>
      <c r="G274" s="5"/>
      <c r="H274" s="5"/>
      <c r="I274" s="5"/>
      <c r="J274" s="5"/>
      <c r="K274" s="5"/>
    </row>
    <row r="275" spans="1:11" x14ac:dyDescent="0.35">
      <c r="A275" s="4"/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 spans="1:11" x14ac:dyDescent="0.35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5"/>
    </row>
    <row r="277" spans="1:11" x14ac:dyDescent="0.35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 spans="1:11" x14ac:dyDescent="0.35">
      <c r="A278" s="4"/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 spans="1:11" x14ac:dyDescent="0.35">
      <c r="A279" s="4"/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 spans="1:11" x14ac:dyDescent="0.35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5"/>
    </row>
    <row r="281" spans="1:11" x14ac:dyDescent="0.35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</row>
    <row r="282" spans="1:11" x14ac:dyDescent="0.35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5"/>
    </row>
    <row r="283" spans="1:11" x14ac:dyDescent="0.35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 spans="1:11" x14ac:dyDescent="0.35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5"/>
    </row>
    <row r="285" spans="1:11" x14ac:dyDescent="0.35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5"/>
    </row>
    <row r="286" spans="1:11" x14ac:dyDescent="0.35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 spans="1:11" x14ac:dyDescent="0.35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5"/>
    </row>
    <row r="288" spans="1:11" x14ac:dyDescent="0.35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5"/>
    </row>
    <row r="289" spans="1:11" x14ac:dyDescent="0.35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5"/>
    </row>
    <row r="290" spans="1:11" x14ac:dyDescent="0.35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5"/>
    </row>
    <row r="291" spans="1:11" x14ac:dyDescent="0.35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5"/>
    </row>
    <row r="292" spans="1:11" x14ac:dyDescent="0.35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5"/>
    </row>
    <row r="293" spans="1:11" x14ac:dyDescent="0.35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5"/>
    </row>
    <row r="294" spans="1:11" x14ac:dyDescent="0.35">
      <c r="A294" s="4"/>
      <c r="B294" s="5"/>
      <c r="C294" s="5"/>
      <c r="D294" s="5"/>
      <c r="E294" s="5"/>
      <c r="F294" s="5"/>
      <c r="G294" s="5"/>
      <c r="H294" s="5"/>
      <c r="I294" s="5"/>
      <c r="J294" s="5"/>
      <c r="K294" s="5"/>
    </row>
    <row r="295" spans="1:11" x14ac:dyDescent="0.35">
      <c r="A295" s="4"/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 spans="1:11" x14ac:dyDescent="0.35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5"/>
    </row>
    <row r="297" spans="1:11" x14ac:dyDescent="0.35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5"/>
    </row>
    <row r="298" spans="1:11" x14ac:dyDescent="0.35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5"/>
    </row>
    <row r="299" spans="1:11" x14ac:dyDescent="0.35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 spans="1:11" x14ac:dyDescent="0.35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5"/>
    </row>
    <row r="301" spans="1:11" x14ac:dyDescent="0.35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 spans="1:11" x14ac:dyDescent="0.35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5"/>
    </row>
    <row r="303" spans="1:11" x14ac:dyDescent="0.35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 spans="1:11" x14ac:dyDescent="0.35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5"/>
    </row>
    <row r="305" spans="1:11" x14ac:dyDescent="0.35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 spans="1:11" x14ac:dyDescent="0.35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5"/>
    </row>
    <row r="307" spans="1:11" x14ac:dyDescent="0.35">
      <c r="A307" s="4"/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 spans="1:11" x14ac:dyDescent="0.35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 spans="1:11" x14ac:dyDescent="0.35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 spans="1:11" x14ac:dyDescent="0.35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5"/>
    </row>
    <row r="311" spans="1:11" x14ac:dyDescent="0.35">
      <c r="A311" s="4"/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 spans="1:11" x14ac:dyDescent="0.35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5"/>
    </row>
    <row r="313" spans="1:11" x14ac:dyDescent="0.35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 spans="1:11" x14ac:dyDescent="0.35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 spans="1:11" x14ac:dyDescent="0.35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 spans="1:11" x14ac:dyDescent="0.35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 spans="1:11" x14ac:dyDescent="0.35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 spans="1:11" x14ac:dyDescent="0.35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 spans="1:11" x14ac:dyDescent="0.35">
      <c r="A319" s="4"/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 spans="1:11" x14ac:dyDescent="0.35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5"/>
    </row>
    <row r="321" spans="1:11" x14ac:dyDescent="0.35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 spans="1:11" x14ac:dyDescent="0.35">
      <c r="A322" s="4"/>
      <c r="B322" s="5"/>
      <c r="C322" s="5"/>
      <c r="D322" s="5"/>
      <c r="E322" s="5"/>
      <c r="F322" s="5"/>
      <c r="G322" s="5"/>
      <c r="H322" s="5"/>
      <c r="I322" s="5"/>
      <c r="J322" s="5"/>
      <c r="K322" s="5"/>
    </row>
    <row r="323" spans="1:11" x14ac:dyDescent="0.35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 spans="1:11" x14ac:dyDescent="0.35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5"/>
    </row>
    <row r="325" spans="1:11" x14ac:dyDescent="0.35">
      <c r="A325" s="4"/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 spans="1:11" x14ac:dyDescent="0.35">
      <c r="A326" s="4"/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 spans="1:11" x14ac:dyDescent="0.35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 spans="1:11" x14ac:dyDescent="0.35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 spans="1:11" x14ac:dyDescent="0.35">
      <c r="A329" s="4"/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 spans="1:11" x14ac:dyDescent="0.35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 spans="1:11" x14ac:dyDescent="0.35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 spans="1:11" x14ac:dyDescent="0.35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 spans="1:11" x14ac:dyDescent="0.35">
      <c r="A333" s="4"/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 spans="1:11" x14ac:dyDescent="0.35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 spans="1:11" x14ac:dyDescent="0.35">
      <c r="A335" s="4"/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 spans="1:11" x14ac:dyDescent="0.35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 spans="1:11" x14ac:dyDescent="0.35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 spans="1:11" x14ac:dyDescent="0.35">
      <c r="A338" s="4"/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 spans="1:11" x14ac:dyDescent="0.35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 spans="1:11" x14ac:dyDescent="0.35">
      <c r="A340" s="4"/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 spans="1:11" x14ac:dyDescent="0.35">
      <c r="A341" s="4"/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 spans="1:11" x14ac:dyDescent="0.35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5"/>
    </row>
    <row r="343" spans="1:11" x14ac:dyDescent="0.35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 spans="1:11" x14ac:dyDescent="0.35">
      <c r="A344" s="4"/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 spans="1:11" x14ac:dyDescent="0.35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 spans="1:11" x14ac:dyDescent="0.35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 spans="1:11" x14ac:dyDescent="0.35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 spans="1:11" x14ac:dyDescent="0.35">
      <c r="A348" s="4"/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 spans="1:11" x14ac:dyDescent="0.35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 spans="1:11" x14ac:dyDescent="0.35">
      <c r="A350" s="4"/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 spans="1:11" x14ac:dyDescent="0.35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 spans="1:11" x14ac:dyDescent="0.35">
      <c r="A352" s="4"/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 spans="1:11" x14ac:dyDescent="0.35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 spans="1:11" x14ac:dyDescent="0.35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 spans="1:11" x14ac:dyDescent="0.35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 spans="1:11" x14ac:dyDescent="0.35">
      <c r="A356" s="4"/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 spans="1:11" x14ac:dyDescent="0.35">
      <c r="A357" s="4"/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 spans="1:11" x14ac:dyDescent="0.35">
      <c r="A358" s="4"/>
      <c r="B358" s="5"/>
      <c r="C358" s="5"/>
      <c r="D358" s="5"/>
      <c r="E358" s="5"/>
      <c r="F358" s="5"/>
      <c r="G358" s="5"/>
      <c r="H358" s="5"/>
      <c r="I358" s="5"/>
      <c r="J358" s="5"/>
      <c r="K358" s="5"/>
    </row>
    <row r="359" spans="1:11" x14ac:dyDescent="0.35">
      <c r="A359" s="4"/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 spans="1:11" x14ac:dyDescent="0.35">
      <c r="A360" s="4"/>
      <c r="B360" s="5"/>
      <c r="C360" s="5"/>
      <c r="D360" s="5"/>
      <c r="E360" s="5"/>
      <c r="F360" s="5"/>
      <c r="G360" s="5"/>
      <c r="H360" s="5"/>
      <c r="I360" s="5"/>
      <c r="J360" s="5"/>
      <c r="K360" s="5"/>
    </row>
    <row r="361" spans="1:11" x14ac:dyDescent="0.35">
      <c r="A361" s="4"/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 spans="1:11" x14ac:dyDescent="0.35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 spans="1:11" x14ac:dyDescent="0.35">
      <c r="A363" s="4"/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 spans="1:11" x14ac:dyDescent="0.35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5"/>
    </row>
    <row r="365" spans="1:11" x14ac:dyDescent="0.35">
      <c r="A365" s="4"/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 spans="1:11" x14ac:dyDescent="0.35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5"/>
    </row>
    <row r="367" spans="1:11" x14ac:dyDescent="0.35">
      <c r="A367" s="4"/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 spans="1:11" x14ac:dyDescent="0.35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 spans="1:11" x14ac:dyDescent="0.35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 spans="1:11" x14ac:dyDescent="0.35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5"/>
    </row>
    <row r="371" spans="1:11" x14ac:dyDescent="0.35">
      <c r="A371" s="4"/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 spans="1:11" x14ac:dyDescent="0.35">
      <c r="A372" s="4"/>
      <c r="B372" s="5"/>
      <c r="C372" s="5"/>
      <c r="D372" s="5"/>
      <c r="E372" s="5"/>
      <c r="F372" s="5"/>
      <c r="G372" s="5"/>
      <c r="H372" s="5"/>
      <c r="I372" s="5"/>
      <c r="J372" s="5"/>
      <c r="K372" s="5"/>
    </row>
    <row r="373" spans="1:11" x14ac:dyDescent="0.35">
      <c r="A373" s="4"/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 spans="1:11" x14ac:dyDescent="0.35">
      <c r="A374" s="4"/>
      <c r="B374" s="5"/>
      <c r="C374" s="5"/>
      <c r="D374" s="5"/>
      <c r="E374" s="5"/>
      <c r="F374" s="5"/>
      <c r="G374" s="5"/>
      <c r="H374" s="5"/>
      <c r="I374" s="5"/>
      <c r="J374" s="5"/>
      <c r="K374" s="5"/>
    </row>
    <row r="375" spans="1:11" x14ac:dyDescent="0.35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 spans="1:11" x14ac:dyDescent="0.35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5"/>
    </row>
    <row r="377" spans="1:11" x14ac:dyDescent="0.35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 spans="1:11" x14ac:dyDescent="0.35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5"/>
    </row>
    <row r="379" spans="1:11" x14ac:dyDescent="0.35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 spans="1:11" x14ac:dyDescent="0.35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5"/>
    </row>
    <row r="381" spans="1:11" x14ac:dyDescent="0.35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 spans="1:11" x14ac:dyDescent="0.35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 spans="1:11" x14ac:dyDescent="0.35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 spans="1:11" x14ac:dyDescent="0.35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 spans="1:11" x14ac:dyDescent="0.35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 spans="1:11" x14ac:dyDescent="0.35">
      <c r="A386" s="4"/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 spans="1:11" x14ac:dyDescent="0.35">
      <c r="A387" s="4"/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 spans="1:11" x14ac:dyDescent="0.35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 spans="1:11" x14ac:dyDescent="0.35">
      <c r="A389" s="4"/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 spans="1:11" x14ac:dyDescent="0.35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5"/>
    </row>
    <row r="391" spans="1:11" x14ac:dyDescent="0.35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5"/>
    </row>
    <row r="392" spans="1:11" x14ac:dyDescent="0.35">
      <c r="A392" s="4"/>
      <c r="B392" s="5"/>
      <c r="C392" s="5"/>
      <c r="D392" s="5"/>
      <c r="E392" s="5"/>
      <c r="F392" s="5"/>
      <c r="G392" s="5"/>
      <c r="H392" s="5"/>
      <c r="I392" s="5"/>
      <c r="J392" s="5"/>
      <c r="K392" s="5"/>
    </row>
    <row r="393" spans="1:11" x14ac:dyDescent="0.35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</row>
    <row r="394" spans="1:11" x14ac:dyDescent="0.35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 spans="1:11" x14ac:dyDescent="0.35">
      <c r="A395" s="4"/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 spans="1:11" x14ac:dyDescent="0.35">
      <c r="A396" s="4"/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 spans="1:11" x14ac:dyDescent="0.35">
      <c r="A397" s="4"/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 spans="1:11" x14ac:dyDescent="0.35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 spans="1:11" x14ac:dyDescent="0.35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 spans="1:11" x14ac:dyDescent="0.35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 spans="1:11" x14ac:dyDescent="0.35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 spans="1:11" x14ac:dyDescent="0.35">
      <c r="A402" s="4"/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 spans="1:11" x14ac:dyDescent="0.35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 spans="1:11" x14ac:dyDescent="0.35">
      <c r="A404" s="4"/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 spans="1:11" x14ac:dyDescent="0.35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 spans="1:11" x14ac:dyDescent="0.35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 spans="1:11" x14ac:dyDescent="0.35">
      <c r="A407" s="4"/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 spans="1:11" x14ac:dyDescent="0.35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 spans="1:11" x14ac:dyDescent="0.35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 spans="1:11" x14ac:dyDescent="0.35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 spans="1:11" x14ac:dyDescent="0.35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 spans="1:11" x14ac:dyDescent="0.35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 spans="1:11" x14ac:dyDescent="0.35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 spans="1:11" x14ac:dyDescent="0.35">
      <c r="A414" s="4"/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 spans="1:11" x14ac:dyDescent="0.35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 spans="1:11" x14ac:dyDescent="0.35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 spans="1:11" x14ac:dyDescent="0.35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 spans="1:11" x14ac:dyDescent="0.35">
      <c r="A418" s="4"/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 spans="1:11" x14ac:dyDescent="0.35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 spans="1:11" x14ac:dyDescent="0.35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 spans="1:11" x14ac:dyDescent="0.35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 spans="1:11" x14ac:dyDescent="0.35">
      <c r="A422" s="4"/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 spans="1:11" x14ac:dyDescent="0.35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 spans="1:11" x14ac:dyDescent="0.35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 spans="1:11" x14ac:dyDescent="0.35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 spans="1:11" x14ac:dyDescent="0.35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 spans="1:11" x14ac:dyDescent="0.35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 spans="1:11" x14ac:dyDescent="0.35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 spans="1:11" x14ac:dyDescent="0.35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 spans="1:11" x14ac:dyDescent="0.35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 spans="1:11" x14ac:dyDescent="0.35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 spans="1:11" x14ac:dyDescent="0.35">
      <c r="A432" s="4"/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 spans="1:11" x14ac:dyDescent="0.35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 spans="1:11" x14ac:dyDescent="0.35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 spans="1:11" x14ac:dyDescent="0.35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 spans="1:11" x14ac:dyDescent="0.35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 spans="1:11" x14ac:dyDescent="0.35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 spans="1:11" x14ac:dyDescent="0.35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 spans="1:11" x14ac:dyDescent="0.35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 spans="1:11" x14ac:dyDescent="0.35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 spans="1:11" x14ac:dyDescent="0.35">
      <c r="A441" s="4"/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 spans="1:11" x14ac:dyDescent="0.35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 spans="1:11" x14ac:dyDescent="0.35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 spans="1:11" x14ac:dyDescent="0.35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 spans="1:11" x14ac:dyDescent="0.35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 spans="1:11" x14ac:dyDescent="0.35">
      <c r="A446" s="4"/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 spans="1:11" x14ac:dyDescent="0.35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 spans="1:11" x14ac:dyDescent="0.35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 spans="1:11" x14ac:dyDescent="0.35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 spans="1:11" x14ac:dyDescent="0.35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 spans="1:11" x14ac:dyDescent="0.35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 spans="1:11" x14ac:dyDescent="0.35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 spans="1:11" x14ac:dyDescent="0.35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 spans="1:11" x14ac:dyDescent="0.35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 spans="1:11" x14ac:dyDescent="0.35">
      <c r="A455" s="4"/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 spans="1:11" x14ac:dyDescent="0.35">
      <c r="A456" s="4"/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 spans="1:11" x14ac:dyDescent="0.35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 spans="1:11" x14ac:dyDescent="0.35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 spans="1:11" x14ac:dyDescent="0.35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 spans="1:11" x14ac:dyDescent="0.35">
      <c r="A460" s="4"/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 spans="1:11" x14ac:dyDescent="0.35">
      <c r="A461" s="4"/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 spans="1:11" x14ac:dyDescent="0.35">
      <c r="A462" s="4"/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 spans="1:11" x14ac:dyDescent="0.35">
      <c r="A463" s="4"/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 spans="1:11" x14ac:dyDescent="0.35">
      <c r="A464" s="4"/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 spans="1:11" x14ac:dyDescent="0.35">
      <c r="A465" s="4"/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 spans="1:11" x14ac:dyDescent="0.35">
      <c r="A466" s="4"/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 spans="1:11" x14ac:dyDescent="0.35">
      <c r="A467" s="4"/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 spans="1:11" x14ac:dyDescent="0.35">
      <c r="A468" s="4"/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 spans="1:11" x14ac:dyDescent="0.35">
      <c r="A469" s="4"/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 spans="1:11" x14ac:dyDescent="0.35">
      <c r="A470" s="4"/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 spans="1:11" x14ac:dyDescent="0.35">
      <c r="A471" s="4"/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 spans="1:11" x14ac:dyDescent="0.35">
      <c r="A472" s="4"/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 spans="1:11" x14ac:dyDescent="0.35">
      <c r="A473" s="4"/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 spans="1:11" x14ac:dyDescent="0.35">
      <c r="A474" s="4"/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 spans="1:11" x14ac:dyDescent="0.35">
      <c r="A475" s="4"/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 spans="1:11" x14ac:dyDescent="0.35">
      <c r="A476" s="4"/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 spans="1:11" x14ac:dyDescent="0.35">
      <c r="A477" s="4"/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 spans="1:11" x14ac:dyDescent="0.35">
      <c r="A478" s="4"/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 spans="1:11" x14ac:dyDescent="0.35">
      <c r="A479" s="4"/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 spans="1:11" x14ac:dyDescent="0.35">
      <c r="A480" s="4"/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 spans="1:11" x14ac:dyDescent="0.35">
      <c r="A481" s="4"/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 spans="1:11" x14ac:dyDescent="0.35">
      <c r="A482" s="4"/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 spans="1:11" x14ac:dyDescent="0.35">
      <c r="A483" s="4"/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 spans="1:11" x14ac:dyDescent="0.35">
      <c r="A484" s="4"/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 spans="1:11" x14ac:dyDescent="0.35">
      <c r="A485" s="4"/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 spans="1:11" x14ac:dyDescent="0.35">
      <c r="A486" s="4"/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 spans="1:11" x14ac:dyDescent="0.35">
      <c r="A487" s="4"/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 spans="1:11" x14ac:dyDescent="0.35">
      <c r="A488" s="4"/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 spans="1:11" x14ac:dyDescent="0.35">
      <c r="A489" s="4"/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 spans="1:11" x14ac:dyDescent="0.35">
      <c r="A490" s="4"/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 spans="1:11" x14ac:dyDescent="0.35">
      <c r="A491" s="4"/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 spans="1:11" x14ac:dyDescent="0.35">
      <c r="A492" s="4"/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 spans="1:11" x14ac:dyDescent="0.35">
      <c r="A493" s="4"/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 spans="1:11" x14ac:dyDescent="0.35">
      <c r="A494" s="4"/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 spans="1:11" x14ac:dyDescent="0.35">
      <c r="A495" s="4"/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 spans="1:11" x14ac:dyDescent="0.35">
      <c r="A496" s="4"/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 spans="1:11" x14ac:dyDescent="0.35">
      <c r="A497" s="4"/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 spans="1:11" x14ac:dyDescent="0.35">
      <c r="A498" s="4"/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 spans="1:11" x14ac:dyDescent="0.35">
      <c r="A499" s="4"/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 spans="1:11" x14ac:dyDescent="0.35">
      <c r="A500" s="4"/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 spans="1:11" x14ac:dyDescent="0.35">
      <c r="A501" s="4"/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 spans="1:11" x14ac:dyDescent="0.35">
      <c r="A502" s="4"/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 spans="1:11" x14ac:dyDescent="0.35">
      <c r="A503" s="4"/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 spans="1:11" x14ac:dyDescent="0.35">
      <c r="A504" s="4"/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 spans="1:11" x14ac:dyDescent="0.35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 spans="1:11" x14ac:dyDescent="0.35">
      <c r="A506" s="4"/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 spans="1:11" x14ac:dyDescent="0.35">
      <c r="A507" s="4"/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 spans="1:11" x14ac:dyDescent="0.35">
      <c r="A508" s="4"/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 spans="1:11" x14ac:dyDescent="0.35">
      <c r="A509" s="4"/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 spans="1:11" x14ac:dyDescent="0.35">
      <c r="A510" s="4"/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 spans="1:11" x14ac:dyDescent="0.35">
      <c r="A511" s="4"/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 spans="1:11" x14ac:dyDescent="0.35">
      <c r="A512" s="4"/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 spans="1:11" x14ac:dyDescent="0.35">
      <c r="A513" s="4"/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 spans="1:11" x14ac:dyDescent="0.35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</row>
    <row r="515" spans="1:11" x14ac:dyDescent="0.35">
      <c r="A515" s="4"/>
      <c r="B515" s="5"/>
      <c r="C515" s="5"/>
      <c r="D515" s="5"/>
      <c r="E515" s="5"/>
      <c r="F515" s="5"/>
      <c r="G515" s="5"/>
      <c r="H515" s="5"/>
      <c r="I515" s="5"/>
      <c r="J515" s="5"/>
      <c r="K515" s="5"/>
    </row>
    <row r="516" spans="1:11" x14ac:dyDescent="0.35">
      <c r="A516" s="4"/>
      <c r="B516" s="5"/>
      <c r="C516" s="5"/>
      <c r="D516" s="5"/>
      <c r="E516" s="5"/>
      <c r="F516" s="5"/>
      <c r="G516" s="5"/>
      <c r="H516" s="5"/>
      <c r="I516" s="5"/>
      <c r="J516" s="5"/>
      <c r="K516" s="5"/>
    </row>
    <row r="517" spans="1:11" x14ac:dyDescent="0.35">
      <c r="A517" s="4"/>
      <c r="B517" s="5"/>
      <c r="C517" s="5"/>
      <c r="D517" s="5"/>
      <c r="E517" s="5"/>
      <c r="F517" s="5"/>
      <c r="G517" s="5"/>
      <c r="H517" s="5"/>
      <c r="I517" s="5"/>
      <c r="J517" s="5"/>
      <c r="K517" s="5"/>
    </row>
    <row r="518" spans="1:11" x14ac:dyDescent="0.35">
      <c r="A518" s="4"/>
      <c r="B518" s="5"/>
      <c r="C518" s="5"/>
      <c r="D518" s="5"/>
      <c r="E518" s="5"/>
      <c r="F518" s="5"/>
      <c r="G518" s="5"/>
      <c r="H518" s="5"/>
      <c r="I518" s="5"/>
      <c r="J518" s="5"/>
      <c r="K518" s="5"/>
    </row>
    <row r="519" spans="1:11" x14ac:dyDescent="0.35">
      <c r="A519" s="4"/>
      <c r="B519" s="5"/>
      <c r="C519" s="5"/>
      <c r="D519" s="5"/>
      <c r="E519" s="5"/>
      <c r="F519" s="5"/>
      <c r="G519" s="5"/>
      <c r="H519" s="5"/>
      <c r="I519" s="5"/>
      <c r="J519" s="5"/>
      <c r="K519" s="5"/>
    </row>
    <row r="520" spans="1:11" x14ac:dyDescent="0.35">
      <c r="A520" s="4"/>
      <c r="B520" s="5"/>
      <c r="C520" s="5"/>
      <c r="D520" s="5"/>
      <c r="E520" s="5"/>
      <c r="F520" s="5"/>
      <c r="G520" s="5"/>
      <c r="H520" s="5"/>
      <c r="I520" s="5"/>
      <c r="J520" s="5"/>
      <c r="K520" s="5"/>
    </row>
    <row r="521" spans="1:11" x14ac:dyDescent="0.35">
      <c r="A521" s="4"/>
      <c r="B521" s="5"/>
      <c r="C521" s="5"/>
      <c r="D521" s="5"/>
      <c r="E521" s="5"/>
      <c r="F521" s="5"/>
      <c r="G521" s="5"/>
      <c r="H521" s="5"/>
      <c r="I521" s="5"/>
      <c r="J521" s="5"/>
      <c r="K521" s="5"/>
    </row>
    <row r="522" spans="1:11" x14ac:dyDescent="0.35">
      <c r="A522" s="4"/>
      <c r="B522" s="5"/>
      <c r="C522" s="5"/>
      <c r="D522" s="5"/>
      <c r="E522" s="5"/>
      <c r="F522" s="5"/>
      <c r="G522" s="5"/>
      <c r="H522" s="5"/>
      <c r="I522" s="5"/>
      <c r="J522" s="5"/>
      <c r="K522" s="5"/>
    </row>
    <row r="523" spans="1:11" x14ac:dyDescent="0.35">
      <c r="A523" s="4"/>
      <c r="B523" s="5"/>
      <c r="C523" s="5"/>
      <c r="D523" s="5"/>
      <c r="E523" s="5"/>
      <c r="F523" s="5"/>
      <c r="G523" s="5"/>
      <c r="H523" s="5"/>
      <c r="I523" s="5"/>
      <c r="J523" s="5"/>
      <c r="K523" s="5"/>
    </row>
    <row r="524" spans="1:11" x14ac:dyDescent="0.35">
      <c r="A524" s="4"/>
      <c r="B524" s="5"/>
      <c r="C524" s="5"/>
      <c r="D524" s="5"/>
      <c r="E524" s="5"/>
      <c r="F524" s="5"/>
      <c r="G524" s="5"/>
      <c r="H524" s="5"/>
      <c r="I524" s="5"/>
      <c r="J524" s="5"/>
      <c r="K524" s="5"/>
    </row>
    <row r="525" spans="1:11" x14ac:dyDescent="0.35">
      <c r="A525" s="4"/>
      <c r="B525" s="5"/>
      <c r="C525" s="5"/>
      <c r="D525" s="5"/>
      <c r="E525" s="5"/>
      <c r="F525" s="5"/>
      <c r="G525" s="5"/>
      <c r="H525" s="5"/>
      <c r="I525" s="5"/>
      <c r="J525" s="5"/>
      <c r="K525" s="5"/>
    </row>
    <row r="526" spans="1:11" x14ac:dyDescent="0.35">
      <c r="A526" s="4"/>
      <c r="B526" s="5"/>
      <c r="C526" s="5"/>
      <c r="D526" s="5"/>
      <c r="E526" s="5"/>
      <c r="F526" s="5"/>
      <c r="G526" s="5"/>
      <c r="H526" s="5"/>
      <c r="I526" s="5"/>
      <c r="J526" s="5"/>
      <c r="K526" s="5"/>
    </row>
    <row r="527" spans="1:11" x14ac:dyDescent="0.35">
      <c r="A527" s="4"/>
      <c r="B527" s="5"/>
      <c r="C527" s="5"/>
      <c r="D527" s="5"/>
      <c r="E527" s="5"/>
      <c r="F527" s="5"/>
      <c r="G527" s="5"/>
      <c r="H527" s="5"/>
      <c r="I527" s="5"/>
      <c r="J527" s="5"/>
      <c r="K527" s="5"/>
    </row>
    <row r="528" spans="1:11" x14ac:dyDescent="0.35">
      <c r="A528" s="4"/>
      <c r="B528" s="5"/>
      <c r="C528" s="5"/>
      <c r="D528" s="5"/>
      <c r="E528" s="5"/>
      <c r="F528" s="5"/>
      <c r="G528" s="5"/>
      <c r="H528" s="5"/>
      <c r="I528" s="5"/>
      <c r="J528" s="5"/>
      <c r="K528" s="5"/>
    </row>
    <row r="529" spans="1:11" x14ac:dyDescent="0.35">
      <c r="A529" s="4"/>
      <c r="B529" s="5"/>
      <c r="C529" s="5"/>
      <c r="D529" s="5"/>
      <c r="E529" s="5"/>
      <c r="F529" s="5"/>
      <c r="G529" s="5"/>
      <c r="H529" s="5"/>
      <c r="I529" s="5"/>
      <c r="J529" s="5"/>
      <c r="K529" s="5"/>
    </row>
    <row r="530" spans="1:11" x14ac:dyDescent="0.35">
      <c r="A530" s="4"/>
      <c r="B530" s="5"/>
      <c r="C530" s="5"/>
      <c r="D530" s="5"/>
      <c r="E530" s="5"/>
      <c r="F530" s="5"/>
      <c r="G530" s="5"/>
      <c r="H530" s="5"/>
      <c r="I530" s="5"/>
      <c r="J530" s="5"/>
      <c r="K530" s="5"/>
    </row>
    <row r="531" spans="1:11" x14ac:dyDescent="0.35">
      <c r="A531" s="4"/>
      <c r="B531" s="5"/>
      <c r="C531" s="5"/>
      <c r="D531" s="5"/>
      <c r="E531" s="5"/>
      <c r="F531" s="5"/>
      <c r="G531" s="5"/>
      <c r="H531" s="5"/>
      <c r="I531" s="5"/>
      <c r="J531" s="5"/>
      <c r="K531" s="5"/>
    </row>
    <row r="532" spans="1:11" x14ac:dyDescent="0.35">
      <c r="A532" s="4"/>
      <c r="B532" s="5"/>
      <c r="C532" s="5"/>
      <c r="D532" s="5"/>
      <c r="E532" s="5"/>
      <c r="F532" s="5"/>
      <c r="G532" s="5"/>
      <c r="H532" s="5"/>
      <c r="I532" s="5"/>
      <c r="J532" s="5"/>
      <c r="K532" s="5"/>
    </row>
    <row r="533" spans="1:11" x14ac:dyDescent="0.35">
      <c r="A533" s="4"/>
      <c r="B533" s="5"/>
      <c r="C533" s="5"/>
      <c r="D533" s="5"/>
      <c r="E533" s="5"/>
      <c r="F533" s="5"/>
      <c r="G533" s="5"/>
      <c r="H533" s="5"/>
      <c r="I533" s="5"/>
      <c r="J533" s="5"/>
      <c r="K533" s="5"/>
    </row>
    <row r="534" spans="1:11" x14ac:dyDescent="0.35">
      <c r="A534" s="4"/>
      <c r="B534" s="5"/>
      <c r="C534" s="5"/>
      <c r="D534" s="5"/>
      <c r="E534" s="5"/>
      <c r="F534" s="5"/>
      <c r="G534" s="5"/>
      <c r="H534" s="5"/>
      <c r="I534" s="5"/>
      <c r="J534" s="5"/>
      <c r="K534" s="5"/>
    </row>
    <row r="535" spans="1:11" x14ac:dyDescent="0.35">
      <c r="A535" s="4"/>
      <c r="B535" s="5"/>
      <c r="C535" s="5"/>
      <c r="D535" s="5"/>
      <c r="E535" s="5"/>
      <c r="F535" s="5"/>
      <c r="G535" s="5"/>
      <c r="H535" s="5"/>
      <c r="I535" s="5"/>
      <c r="J535" s="5"/>
      <c r="K535" s="5"/>
    </row>
    <row r="536" spans="1:11" x14ac:dyDescent="0.35">
      <c r="A536" s="4"/>
      <c r="B536" s="5"/>
      <c r="C536" s="5"/>
      <c r="D536" s="5"/>
      <c r="E536" s="5"/>
      <c r="F536" s="5"/>
      <c r="G536" s="5"/>
      <c r="H536" s="5"/>
      <c r="I536" s="5"/>
      <c r="J536" s="5"/>
      <c r="K536" s="5"/>
    </row>
    <row r="537" spans="1:11" x14ac:dyDescent="0.35">
      <c r="A537" s="4"/>
      <c r="B537" s="5"/>
      <c r="C537" s="5"/>
      <c r="D537" s="5"/>
      <c r="E537" s="5"/>
      <c r="F537" s="5"/>
      <c r="G537" s="5"/>
      <c r="H537" s="5"/>
      <c r="I537" s="5"/>
      <c r="J537" s="5"/>
      <c r="K537" s="5"/>
    </row>
    <row r="538" spans="1:11" x14ac:dyDescent="0.35">
      <c r="A538" s="4"/>
      <c r="B538" s="5"/>
      <c r="C538" s="5"/>
      <c r="D538" s="5"/>
      <c r="E538" s="5"/>
      <c r="F538" s="5"/>
      <c r="G538" s="5"/>
      <c r="H538" s="5"/>
      <c r="I538" s="5"/>
      <c r="J538" s="5"/>
      <c r="K538" s="5"/>
    </row>
    <row r="539" spans="1:11" x14ac:dyDescent="0.35">
      <c r="A539" s="4"/>
      <c r="B539" s="5"/>
      <c r="C539" s="5"/>
      <c r="D539" s="5"/>
      <c r="E539" s="5"/>
      <c r="F539" s="5"/>
      <c r="G539" s="5"/>
      <c r="H539" s="5"/>
      <c r="I539" s="5"/>
      <c r="J539" s="5"/>
      <c r="K539" s="5"/>
    </row>
    <row r="540" spans="1:11" x14ac:dyDescent="0.35">
      <c r="A540" s="4"/>
      <c r="B540" s="5"/>
      <c r="C540" s="5"/>
      <c r="D540" s="5"/>
      <c r="E540" s="5"/>
      <c r="F540" s="5"/>
      <c r="G540" s="5"/>
      <c r="H540" s="5"/>
      <c r="I540" s="5"/>
      <c r="J540" s="5"/>
      <c r="K540" s="5"/>
    </row>
    <row r="541" spans="1:11" x14ac:dyDescent="0.35">
      <c r="A541" s="4"/>
      <c r="B541" s="5"/>
      <c r="C541" s="5"/>
      <c r="D541" s="5"/>
      <c r="E541" s="5"/>
      <c r="F541" s="5"/>
      <c r="G541" s="5"/>
      <c r="H541" s="5"/>
      <c r="I541" s="5"/>
      <c r="J541" s="5"/>
      <c r="K541" s="5"/>
    </row>
    <row r="542" spans="1:11" x14ac:dyDescent="0.35">
      <c r="A542" s="4"/>
      <c r="B542" s="5"/>
      <c r="C542" s="5"/>
      <c r="D542" s="5"/>
      <c r="E542" s="5"/>
      <c r="F542" s="5"/>
      <c r="G542" s="5"/>
      <c r="H542" s="5"/>
      <c r="I542" s="5"/>
      <c r="J542" s="5"/>
      <c r="K542" s="5"/>
    </row>
    <row r="543" spans="1:11" x14ac:dyDescent="0.35">
      <c r="A543" s="4"/>
      <c r="B543" s="5"/>
      <c r="C543" s="5"/>
      <c r="D543" s="5"/>
      <c r="E543" s="5"/>
      <c r="F543" s="5"/>
      <c r="G543" s="5"/>
      <c r="H543" s="5"/>
      <c r="I543" s="5"/>
      <c r="J543" s="5"/>
      <c r="K543" s="5"/>
    </row>
    <row r="544" spans="1:11" x14ac:dyDescent="0.35">
      <c r="A544" s="4"/>
      <c r="B544" s="5"/>
      <c r="C544" s="5"/>
      <c r="D544" s="5"/>
      <c r="E544" s="5"/>
      <c r="F544" s="5"/>
      <c r="G544" s="5"/>
      <c r="H544" s="5"/>
      <c r="I544" s="5"/>
      <c r="J544" s="5"/>
      <c r="K544" s="5"/>
    </row>
    <row r="545" spans="1:11" x14ac:dyDescent="0.35">
      <c r="A545" s="4"/>
      <c r="B545" s="5"/>
      <c r="C545" s="5"/>
      <c r="D545" s="5"/>
      <c r="E545" s="5"/>
      <c r="F545" s="5"/>
      <c r="G545" s="5"/>
      <c r="H545" s="5"/>
      <c r="I545" s="5"/>
      <c r="J545" s="5"/>
      <c r="K545" s="5"/>
    </row>
    <row r="546" spans="1:11" x14ac:dyDescent="0.35">
      <c r="A546" s="4"/>
      <c r="B546" s="5"/>
      <c r="C546" s="5"/>
      <c r="D546" s="5"/>
      <c r="E546" s="5"/>
      <c r="F546" s="5"/>
      <c r="G546" s="5"/>
      <c r="H546" s="5"/>
      <c r="I546" s="5"/>
      <c r="J546" s="5"/>
      <c r="K546" s="5"/>
    </row>
    <row r="547" spans="1:11" x14ac:dyDescent="0.35">
      <c r="A547" s="4"/>
      <c r="B547" s="5"/>
      <c r="C547" s="5"/>
      <c r="D547" s="5"/>
      <c r="E547" s="5"/>
      <c r="F547" s="5"/>
      <c r="G547" s="5"/>
      <c r="H547" s="5"/>
      <c r="I547" s="5"/>
      <c r="J547" s="5"/>
      <c r="K547" s="5"/>
    </row>
    <row r="548" spans="1:11" x14ac:dyDescent="0.35">
      <c r="A548" s="4"/>
      <c r="B548" s="5"/>
      <c r="C548" s="5"/>
      <c r="D548" s="5"/>
      <c r="E548" s="5"/>
      <c r="F548" s="5"/>
      <c r="G548" s="5"/>
      <c r="H548" s="5"/>
      <c r="I548" s="5"/>
      <c r="J548" s="5"/>
      <c r="K548" s="5"/>
    </row>
    <row r="549" spans="1:11" x14ac:dyDescent="0.35">
      <c r="A549" s="4"/>
      <c r="B549" s="5"/>
      <c r="C549" s="5"/>
      <c r="D549" s="5"/>
      <c r="E549" s="5"/>
      <c r="F549" s="5"/>
      <c r="G549" s="5"/>
      <c r="H549" s="5"/>
      <c r="I549" s="5"/>
      <c r="J549" s="5"/>
      <c r="K549" s="5"/>
    </row>
    <row r="550" spans="1:11" x14ac:dyDescent="0.35">
      <c r="A550" s="4"/>
      <c r="B550" s="5"/>
      <c r="C550" s="5"/>
      <c r="D550" s="5"/>
      <c r="E550" s="5"/>
      <c r="F550" s="5"/>
      <c r="G550" s="5"/>
      <c r="H550" s="5"/>
      <c r="I550" s="5"/>
      <c r="J550" s="5"/>
      <c r="K550" s="5"/>
    </row>
    <row r="551" spans="1:11" x14ac:dyDescent="0.35">
      <c r="A551" s="4"/>
      <c r="B551" s="5"/>
      <c r="C551" s="5"/>
      <c r="D551" s="5"/>
      <c r="E551" s="5"/>
      <c r="F551" s="5"/>
      <c r="G551" s="5"/>
      <c r="H551" s="5"/>
      <c r="I551" s="5"/>
      <c r="J551" s="5"/>
      <c r="K551" s="5"/>
    </row>
    <row r="552" spans="1:11" x14ac:dyDescent="0.35">
      <c r="A552" s="4"/>
      <c r="B552" s="5"/>
      <c r="C552" s="5"/>
      <c r="D552" s="5"/>
      <c r="E552" s="5"/>
      <c r="F552" s="5"/>
      <c r="G552" s="5"/>
      <c r="H552" s="5"/>
      <c r="I552" s="5"/>
      <c r="J552" s="5"/>
      <c r="K552" s="5"/>
    </row>
    <row r="553" spans="1:11" x14ac:dyDescent="0.35">
      <c r="A553" s="4"/>
      <c r="B553" s="5"/>
      <c r="C553" s="5"/>
      <c r="D553" s="5"/>
      <c r="E553" s="5"/>
      <c r="F553" s="5"/>
      <c r="G553" s="5"/>
      <c r="H553" s="5"/>
      <c r="I553" s="5"/>
      <c r="J553" s="5"/>
      <c r="K553" s="5"/>
    </row>
    <row r="554" spans="1:11" x14ac:dyDescent="0.35">
      <c r="A554" s="4"/>
      <c r="B554" s="5"/>
      <c r="C554" s="5"/>
      <c r="D554" s="5"/>
      <c r="E554" s="5"/>
      <c r="F554" s="5"/>
      <c r="G554" s="5"/>
      <c r="H554" s="5"/>
      <c r="I554" s="5"/>
      <c r="J554" s="5"/>
      <c r="K554" s="5"/>
    </row>
    <row r="555" spans="1:11" x14ac:dyDescent="0.35">
      <c r="A555" s="4"/>
      <c r="B555" s="5"/>
      <c r="C555" s="5"/>
      <c r="D555" s="5"/>
      <c r="E555" s="5"/>
      <c r="F555" s="5"/>
      <c r="G555" s="5"/>
      <c r="H555" s="5"/>
      <c r="I555" s="5"/>
      <c r="J555" s="5"/>
      <c r="K555" s="5"/>
    </row>
    <row r="556" spans="1:11" x14ac:dyDescent="0.35">
      <c r="A556" s="4"/>
      <c r="B556" s="5"/>
      <c r="C556" s="5"/>
      <c r="D556" s="5"/>
      <c r="E556" s="5"/>
      <c r="F556" s="5"/>
      <c r="G556" s="5"/>
      <c r="H556" s="5"/>
      <c r="I556" s="5"/>
      <c r="J556" s="5"/>
      <c r="K556" s="5"/>
    </row>
    <row r="557" spans="1:11" x14ac:dyDescent="0.35">
      <c r="A557" s="4"/>
      <c r="B557" s="5"/>
      <c r="C557" s="5"/>
      <c r="D557" s="5"/>
      <c r="E557" s="5"/>
      <c r="F557" s="5"/>
      <c r="G557" s="5"/>
      <c r="H557" s="5"/>
      <c r="I557" s="5"/>
      <c r="J557" s="5"/>
      <c r="K557" s="5"/>
    </row>
    <row r="558" spans="1:11" x14ac:dyDescent="0.35">
      <c r="A558" s="4"/>
      <c r="B558" s="5"/>
      <c r="C558" s="5"/>
      <c r="D558" s="5"/>
      <c r="E558" s="5"/>
      <c r="F558" s="5"/>
      <c r="G558" s="5"/>
      <c r="H558" s="5"/>
      <c r="I558" s="5"/>
      <c r="J558" s="5"/>
      <c r="K558" s="5"/>
    </row>
    <row r="559" spans="1:11" x14ac:dyDescent="0.35">
      <c r="A559" s="4"/>
      <c r="B559" s="5"/>
      <c r="C559" s="5"/>
      <c r="D559" s="5"/>
      <c r="E559" s="5"/>
      <c r="F559" s="5"/>
      <c r="G559" s="5"/>
      <c r="H559" s="5"/>
      <c r="I559" s="5"/>
      <c r="J559" s="5"/>
      <c r="K559" s="5"/>
    </row>
    <row r="560" spans="1:11" x14ac:dyDescent="0.35">
      <c r="A560" s="4"/>
      <c r="B560" s="5"/>
      <c r="C560" s="5"/>
      <c r="D560" s="5"/>
      <c r="E560" s="5"/>
      <c r="F560" s="5"/>
      <c r="G560" s="5"/>
      <c r="H560" s="5"/>
      <c r="I560" s="5"/>
      <c r="J560" s="5"/>
      <c r="K560" s="5"/>
    </row>
    <row r="561" spans="1:11" x14ac:dyDescent="0.35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</row>
    <row r="562" spans="1:11" x14ac:dyDescent="0.35">
      <c r="A562" s="4"/>
      <c r="B562" s="5"/>
      <c r="C562" s="5"/>
      <c r="D562" s="5"/>
      <c r="E562" s="5"/>
      <c r="F562" s="5"/>
      <c r="G562" s="5"/>
      <c r="H562" s="5"/>
      <c r="I562" s="5"/>
      <c r="J562" s="5"/>
      <c r="K562" s="5"/>
    </row>
    <row r="563" spans="1:11" x14ac:dyDescent="0.35">
      <c r="A563" s="4"/>
      <c r="B563" s="5"/>
      <c r="C563" s="5"/>
      <c r="D563" s="5"/>
      <c r="E563" s="5"/>
      <c r="F563" s="5"/>
      <c r="G563" s="5"/>
      <c r="H563" s="5"/>
      <c r="I563" s="5"/>
      <c r="J563" s="5"/>
      <c r="K563" s="5"/>
    </row>
    <row r="564" spans="1:11" x14ac:dyDescent="0.35">
      <c r="A564" s="4"/>
      <c r="B564" s="5"/>
      <c r="C564" s="5"/>
      <c r="D564" s="5"/>
      <c r="E564" s="5"/>
      <c r="F564" s="5"/>
      <c r="G564" s="5"/>
      <c r="H564" s="5"/>
      <c r="I564" s="5"/>
      <c r="J564" s="5"/>
      <c r="K564" s="5"/>
    </row>
    <row r="565" spans="1:11" x14ac:dyDescent="0.35">
      <c r="A565" s="4"/>
      <c r="B565" s="5"/>
      <c r="C565" s="5"/>
      <c r="D565" s="5"/>
      <c r="E565" s="5"/>
      <c r="F565" s="5"/>
      <c r="G565" s="5"/>
      <c r="H565" s="5"/>
      <c r="I565" s="5"/>
      <c r="J565" s="5"/>
      <c r="K565" s="5"/>
    </row>
    <row r="566" spans="1:11" x14ac:dyDescent="0.35">
      <c r="A566" s="4"/>
      <c r="B566" s="5"/>
      <c r="C566" s="5"/>
      <c r="D566" s="5"/>
      <c r="E566" s="5"/>
      <c r="F566" s="5"/>
      <c r="G566" s="5"/>
      <c r="H566" s="5"/>
      <c r="I566" s="5"/>
      <c r="J566" s="5"/>
      <c r="K566" s="5"/>
    </row>
    <row r="567" spans="1:11" x14ac:dyDescent="0.35">
      <c r="A567" s="4"/>
      <c r="B567" s="5"/>
      <c r="C567" s="5"/>
      <c r="D567" s="5"/>
      <c r="E567" s="5"/>
      <c r="F567" s="5"/>
      <c r="G567" s="5"/>
      <c r="H567" s="5"/>
      <c r="I567" s="5"/>
      <c r="J567" s="5"/>
      <c r="K567" s="5"/>
    </row>
    <row r="568" spans="1:11" x14ac:dyDescent="0.35">
      <c r="A568" s="4"/>
      <c r="B568" s="5"/>
      <c r="C568" s="5"/>
      <c r="D568" s="5"/>
      <c r="E568" s="5"/>
      <c r="F568" s="5"/>
      <c r="G568" s="5"/>
      <c r="H568" s="5"/>
      <c r="I568" s="5"/>
      <c r="J568" s="5"/>
      <c r="K568" s="5"/>
    </row>
    <row r="569" spans="1:11" x14ac:dyDescent="0.35">
      <c r="A569" s="4"/>
      <c r="B569" s="5"/>
      <c r="C569" s="5"/>
      <c r="D569" s="5"/>
      <c r="E569" s="5"/>
      <c r="F569" s="5"/>
      <c r="G569" s="5"/>
      <c r="H569" s="5"/>
      <c r="I569" s="5"/>
      <c r="J569" s="5"/>
      <c r="K569" s="5"/>
    </row>
    <row r="570" spans="1:11" x14ac:dyDescent="0.35">
      <c r="A570" s="4"/>
      <c r="B570" s="5"/>
      <c r="C570" s="5"/>
      <c r="D570" s="5"/>
      <c r="E570" s="5"/>
      <c r="F570" s="5"/>
      <c r="G570" s="5"/>
      <c r="H570" s="5"/>
      <c r="I570" s="5"/>
      <c r="J570" s="5"/>
      <c r="K570" s="5"/>
    </row>
    <row r="571" spans="1:11" x14ac:dyDescent="0.35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</row>
    <row r="572" spans="1:11" x14ac:dyDescent="0.35">
      <c r="A572" s="4"/>
      <c r="B572" s="5"/>
      <c r="C572" s="5"/>
      <c r="D572" s="5"/>
      <c r="E572" s="5"/>
      <c r="F572" s="5"/>
      <c r="G572" s="5"/>
      <c r="H572" s="5"/>
      <c r="I572" s="5"/>
      <c r="J572" s="5"/>
      <c r="K572" s="5"/>
    </row>
    <row r="573" spans="1:11" x14ac:dyDescent="0.35">
      <c r="A573" s="4"/>
      <c r="B573" s="5"/>
      <c r="C573" s="5"/>
      <c r="D573" s="5"/>
      <c r="E573" s="5"/>
      <c r="F573" s="5"/>
      <c r="G573" s="5"/>
      <c r="H573" s="5"/>
      <c r="I573" s="5"/>
      <c r="J573" s="5"/>
      <c r="K573" s="5"/>
    </row>
    <row r="574" spans="1:11" x14ac:dyDescent="0.35">
      <c r="A574" s="4"/>
      <c r="B574" s="5"/>
      <c r="C574" s="5"/>
      <c r="D574" s="5"/>
      <c r="E574" s="5"/>
      <c r="F574" s="5"/>
      <c r="G574" s="5"/>
      <c r="H574" s="5"/>
      <c r="I574" s="5"/>
      <c r="J574" s="5"/>
      <c r="K574" s="5"/>
    </row>
    <row r="575" spans="1:11" x14ac:dyDescent="0.35">
      <c r="A575" s="4"/>
      <c r="B575" s="5"/>
      <c r="C575" s="5"/>
      <c r="D575" s="5"/>
      <c r="E575" s="5"/>
      <c r="F575" s="5"/>
      <c r="G575" s="5"/>
      <c r="H575" s="5"/>
      <c r="I575" s="5"/>
      <c r="J575" s="5"/>
      <c r="K575" s="5"/>
    </row>
    <row r="576" spans="1:11" x14ac:dyDescent="0.35">
      <c r="A576" s="4"/>
      <c r="B576" s="5"/>
      <c r="C576" s="5"/>
      <c r="D576" s="5"/>
      <c r="E576" s="5"/>
      <c r="F576" s="5"/>
      <c r="G576" s="5"/>
      <c r="H576" s="5"/>
      <c r="I576" s="5"/>
      <c r="J576" s="5"/>
      <c r="K576" s="5"/>
    </row>
    <row r="577" spans="1:11" x14ac:dyDescent="0.35">
      <c r="A577" s="4"/>
      <c r="B577" s="5"/>
      <c r="C577" s="5"/>
      <c r="D577" s="5"/>
      <c r="E577" s="5"/>
      <c r="F577" s="5"/>
      <c r="G577" s="5"/>
      <c r="H577" s="5"/>
      <c r="I577" s="5"/>
      <c r="J577" s="5"/>
      <c r="K577" s="5"/>
    </row>
    <row r="578" spans="1:11" x14ac:dyDescent="0.35">
      <c r="A578" s="4"/>
      <c r="B578" s="5"/>
      <c r="C578" s="5"/>
      <c r="D578" s="5"/>
      <c r="E578" s="5"/>
      <c r="F578" s="5"/>
      <c r="G578" s="5"/>
      <c r="H578" s="5"/>
      <c r="I578" s="5"/>
      <c r="J578" s="5"/>
      <c r="K578" s="5"/>
    </row>
    <row r="579" spans="1:11" x14ac:dyDescent="0.35">
      <c r="A579" s="4"/>
      <c r="B579" s="5"/>
      <c r="C579" s="5"/>
      <c r="D579" s="5"/>
      <c r="E579" s="5"/>
      <c r="F579" s="5"/>
      <c r="G579" s="5"/>
      <c r="H579" s="5"/>
      <c r="I579" s="5"/>
      <c r="J579" s="5"/>
      <c r="K579" s="5"/>
    </row>
    <row r="580" spans="1:11" x14ac:dyDescent="0.35">
      <c r="A580" s="4"/>
      <c r="B580" s="5"/>
      <c r="C580" s="5"/>
      <c r="D580" s="5"/>
      <c r="E580" s="5"/>
      <c r="F580" s="5"/>
      <c r="G580" s="5"/>
      <c r="H580" s="5"/>
      <c r="I580" s="5"/>
      <c r="J580" s="5"/>
      <c r="K580" s="5"/>
    </row>
    <row r="581" spans="1:11" x14ac:dyDescent="0.35">
      <c r="A581" s="4"/>
      <c r="B581" s="5"/>
      <c r="C581" s="5"/>
      <c r="D581" s="5"/>
      <c r="E581" s="5"/>
      <c r="F581" s="5"/>
      <c r="G581" s="5"/>
      <c r="H581" s="5"/>
      <c r="I581" s="5"/>
      <c r="J581" s="5"/>
      <c r="K581" s="5"/>
    </row>
    <row r="582" spans="1:11" x14ac:dyDescent="0.35">
      <c r="A582" s="4"/>
      <c r="B582" s="5"/>
      <c r="C582" s="5"/>
      <c r="D582" s="5"/>
      <c r="E582" s="5"/>
      <c r="F582" s="5"/>
      <c r="G582" s="5"/>
      <c r="H582" s="5"/>
      <c r="I582" s="5"/>
      <c r="J582" s="5"/>
      <c r="K582" s="5"/>
    </row>
    <row r="583" spans="1:11" x14ac:dyDescent="0.35">
      <c r="A583" s="4"/>
      <c r="B583" s="5"/>
      <c r="C583" s="5"/>
      <c r="D583" s="5"/>
      <c r="E583" s="5"/>
      <c r="F583" s="5"/>
      <c r="G583" s="5"/>
      <c r="H583" s="5"/>
      <c r="I583" s="5"/>
      <c r="J583" s="5"/>
      <c r="K583" s="5"/>
    </row>
    <row r="584" spans="1:11" x14ac:dyDescent="0.35">
      <c r="A584" s="4"/>
      <c r="B584" s="5"/>
      <c r="C584" s="5"/>
      <c r="D584" s="5"/>
      <c r="E584" s="5"/>
      <c r="F584" s="5"/>
      <c r="G584" s="5"/>
      <c r="H584" s="5"/>
      <c r="I584" s="5"/>
      <c r="J584" s="5"/>
      <c r="K584" s="5"/>
    </row>
    <row r="585" spans="1:11" x14ac:dyDescent="0.35">
      <c r="A585" s="4"/>
      <c r="B585" s="5"/>
      <c r="C585" s="5"/>
      <c r="D585" s="5"/>
      <c r="E585" s="5"/>
      <c r="F585" s="5"/>
      <c r="G585" s="5"/>
      <c r="H585" s="5"/>
      <c r="I585" s="5"/>
      <c r="J585" s="5"/>
      <c r="K585" s="5"/>
    </row>
    <row r="586" spans="1:11" x14ac:dyDescent="0.35">
      <c r="A586" s="4"/>
      <c r="B586" s="5"/>
      <c r="C586" s="5"/>
      <c r="D586" s="5"/>
      <c r="E586" s="5"/>
      <c r="F586" s="5"/>
      <c r="G586" s="5"/>
      <c r="H586" s="5"/>
      <c r="I586" s="5"/>
      <c r="J586" s="5"/>
      <c r="K586" s="5"/>
    </row>
    <row r="587" spans="1:11" x14ac:dyDescent="0.35">
      <c r="A587" s="4"/>
      <c r="B587" s="5"/>
      <c r="C587" s="5"/>
      <c r="D587" s="5"/>
      <c r="E587" s="5"/>
      <c r="F587" s="5"/>
      <c r="G587" s="5"/>
      <c r="H587" s="5"/>
      <c r="I587" s="5"/>
      <c r="J587" s="5"/>
      <c r="K587" s="5"/>
    </row>
    <row r="588" spans="1:11" x14ac:dyDescent="0.35">
      <c r="A588" s="4"/>
      <c r="B588" s="5"/>
      <c r="C588" s="5"/>
      <c r="D588" s="5"/>
      <c r="E588" s="5"/>
      <c r="F588" s="5"/>
      <c r="G588" s="5"/>
      <c r="H588" s="5"/>
      <c r="I588" s="5"/>
      <c r="J588" s="5"/>
      <c r="K588" s="5"/>
    </row>
    <row r="589" spans="1:11" x14ac:dyDescent="0.35">
      <c r="A589" s="4"/>
      <c r="B589" s="5"/>
      <c r="C589" s="5"/>
      <c r="D589" s="5"/>
      <c r="E589" s="5"/>
      <c r="F589" s="5"/>
      <c r="G589" s="5"/>
      <c r="H589" s="5"/>
      <c r="I589" s="5"/>
      <c r="J589" s="5"/>
      <c r="K589" s="5"/>
    </row>
    <row r="590" spans="1:11" x14ac:dyDescent="0.35">
      <c r="A590" s="4"/>
      <c r="B590" s="5"/>
      <c r="C590" s="5"/>
      <c r="D590" s="5"/>
      <c r="E590" s="5"/>
      <c r="F590" s="5"/>
      <c r="G590" s="5"/>
      <c r="H590" s="5"/>
      <c r="I590" s="5"/>
      <c r="J590" s="5"/>
      <c r="K590" s="5"/>
    </row>
    <row r="591" spans="1:11" x14ac:dyDescent="0.35">
      <c r="A591" s="4"/>
      <c r="B591" s="5"/>
      <c r="C591" s="5"/>
      <c r="D591" s="5"/>
      <c r="E591" s="5"/>
      <c r="F591" s="5"/>
      <c r="G591" s="5"/>
      <c r="H591" s="5"/>
      <c r="I591" s="5"/>
      <c r="J591" s="5"/>
      <c r="K591" s="5"/>
    </row>
    <row r="592" spans="1:11" x14ac:dyDescent="0.35">
      <c r="A592" s="4"/>
      <c r="B592" s="5"/>
      <c r="C592" s="5"/>
      <c r="D592" s="5"/>
      <c r="E592" s="5"/>
      <c r="F592" s="5"/>
      <c r="G592" s="5"/>
      <c r="H592" s="5"/>
      <c r="I592" s="5"/>
      <c r="J592" s="5"/>
      <c r="K592" s="5"/>
    </row>
    <row r="593" spans="1:11" x14ac:dyDescent="0.35">
      <c r="A593" s="4"/>
      <c r="B593" s="5"/>
      <c r="C593" s="5"/>
      <c r="D593" s="5"/>
      <c r="E593" s="5"/>
      <c r="F593" s="5"/>
      <c r="G593" s="5"/>
      <c r="H593" s="5"/>
      <c r="I593" s="5"/>
      <c r="J593" s="5"/>
      <c r="K593" s="5"/>
    </row>
    <row r="594" spans="1:11" x14ac:dyDescent="0.35">
      <c r="A594" s="4"/>
      <c r="B594" s="5"/>
      <c r="C594" s="5"/>
      <c r="D594" s="5"/>
      <c r="E594" s="5"/>
      <c r="F594" s="5"/>
      <c r="G594" s="5"/>
      <c r="H594" s="5"/>
      <c r="I594" s="5"/>
      <c r="J594" s="5"/>
      <c r="K594" s="5"/>
    </row>
    <row r="595" spans="1:11" x14ac:dyDescent="0.35">
      <c r="A595" s="4"/>
      <c r="B595" s="5"/>
      <c r="C595" s="5"/>
      <c r="D595" s="5"/>
      <c r="E595" s="5"/>
      <c r="F595" s="5"/>
      <c r="G595" s="5"/>
      <c r="H595" s="5"/>
      <c r="I595" s="5"/>
      <c r="J595" s="5"/>
      <c r="K595" s="5"/>
    </row>
    <row r="596" spans="1:11" x14ac:dyDescent="0.35">
      <c r="A596" s="4"/>
      <c r="B596" s="5"/>
      <c r="C596" s="5"/>
      <c r="D596" s="5"/>
      <c r="E596" s="5"/>
      <c r="F596" s="5"/>
      <c r="G596" s="5"/>
      <c r="H596" s="5"/>
      <c r="I596" s="5"/>
      <c r="J596" s="5"/>
      <c r="K596" s="5"/>
    </row>
    <row r="597" spans="1:11" x14ac:dyDescent="0.35">
      <c r="A597" s="4"/>
      <c r="B597" s="5"/>
      <c r="C597" s="5"/>
      <c r="D597" s="5"/>
      <c r="E597" s="5"/>
      <c r="F597" s="5"/>
      <c r="G597" s="5"/>
      <c r="H597" s="5"/>
      <c r="I597" s="5"/>
      <c r="J597" s="5"/>
      <c r="K597" s="5"/>
    </row>
    <row r="598" spans="1:11" x14ac:dyDescent="0.35">
      <c r="A598" s="4"/>
      <c r="B598" s="5"/>
      <c r="C598" s="5"/>
      <c r="D598" s="5"/>
      <c r="E598" s="5"/>
      <c r="F598" s="5"/>
      <c r="G598" s="5"/>
      <c r="H598" s="5"/>
      <c r="I598" s="5"/>
      <c r="J598" s="5"/>
      <c r="K598" s="5"/>
    </row>
    <row r="599" spans="1:11" x14ac:dyDescent="0.35">
      <c r="A599" s="4"/>
      <c r="B599" s="5"/>
      <c r="C599" s="5"/>
      <c r="D599" s="5"/>
      <c r="E599" s="5"/>
      <c r="F599" s="5"/>
      <c r="G599" s="5"/>
      <c r="H599" s="5"/>
      <c r="I599" s="5"/>
      <c r="J599" s="5"/>
      <c r="K599" s="5"/>
    </row>
    <row r="600" spans="1:11" x14ac:dyDescent="0.35">
      <c r="A600" s="4"/>
      <c r="B600" s="5"/>
      <c r="C600" s="5"/>
      <c r="D600" s="5"/>
      <c r="E600" s="5"/>
      <c r="F600" s="5"/>
      <c r="G600" s="5"/>
      <c r="H600" s="5"/>
      <c r="I600" s="5"/>
      <c r="J600" s="5"/>
      <c r="K600" s="5"/>
    </row>
    <row r="601" spans="1:11" x14ac:dyDescent="0.35">
      <c r="A601" s="4"/>
      <c r="B601" s="5"/>
      <c r="C601" s="5"/>
      <c r="D601" s="5"/>
      <c r="E601" s="5"/>
      <c r="F601" s="5"/>
      <c r="G601" s="5"/>
      <c r="H601" s="5"/>
      <c r="I601" s="5"/>
      <c r="J601" s="5"/>
      <c r="K601" s="5"/>
    </row>
    <row r="602" spans="1:11" x14ac:dyDescent="0.35">
      <c r="A602" s="4"/>
      <c r="B602" s="5"/>
      <c r="C602" s="5"/>
      <c r="D602" s="5"/>
      <c r="E602" s="5"/>
      <c r="F602" s="5"/>
      <c r="G602" s="5"/>
      <c r="H602" s="5"/>
      <c r="I602" s="5"/>
      <c r="J602" s="5"/>
      <c r="K602" s="5"/>
    </row>
    <row r="603" spans="1:11" x14ac:dyDescent="0.35">
      <c r="A603" s="4"/>
      <c r="B603" s="5"/>
      <c r="C603" s="5"/>
      <c r="D603" s="5"/>
      <c r="E603" s="5"/>
      <c r="F603" s="5"/>
      <c r="G603" s="5"/>
      <c r="H603" s="5"/>
      <c r="I603" s="5"/>
      <c r="J603" s="5"/>
      <c r="K603" s="5"/>
    </row>
    <row r="604" spans="1:11" x14ac:dyDescent="0.35">
      <c r="A604" s="4"/>
      <c r="B604" s="5"/>
      <c r="C604" s="5"/>
      <c r="D604" s="5"/>
      <c r="E604" s="5"/>
      <c r="F604" s="5"/>
      <c r="G604" s="5"/>
      <c r="H604" s="5"/>
      <c r="I604" s="5"/>
      <c r="J604" s="5"/>
      <c r="K604" s="5"/>
    </row>
    <row r="605" spans="1:11" x14ac:dyDescent="0.35">
      <c r="A605" s="4"/>
      <c r="B605" s="5"/>
      <c r="C605" s="5"/>
      <c r="D605" s="5"/>
      <c r="E605" s="5"/>
      <c r="F605" s="5"/>
      <c r="G605" s="5"/>
      <c r="H605" s="5"/>
      <c r="I605" s="5"/>
      <c r="J605" s="5"/>
      <c r="K605" s="5"/>
    </row>
    <row r="606" spans="1:11" x14ac:dyDescent="0.35">
      <c r="A606" s="4"/>
      <c r="B606" s="5"/>
      <c r="C606" s="5"/>
      <c r="D606" s="5"/>
      <c r="E606" s="5"/>
      <c r="F606" s="5"/>
      <c r="G606" s="5"/>
      <c r="H606" s="5"/>
      <c r="I606" s="5"/>
      <c r="J606" s="5"/>
      <c r="K606" s="5"/>
    </row>
    <row r="607" spans="1:11" x14ac:dyDescent="0.35">
      <c r="A607" s="4"/>
      <c r="B607" s="5"/>
      <c r="C607" s="5"/>
      <c r="D607" s="5"/>
      <c r="E607" s="5"/>
      <c r="F607" s="5"/>
      <c r="G607" s="5"/>
      <c r="H607" s="5"/>
      <c r="I607" s="5"/>
      <c r="J607" s="5"/>
      <c r="K607" s="5"/>
    </row>
    <row r="608" spans="1:11" x14ac:dyDescent="0.35">
      <c r="A608" s="4"/>
      <c r="B608" s="5"/>
      <c r="C608" s="5"/>
      <c r="D608" s="5"/>
      <c r="E608" s="5"/>
      <c r="F608" s="5"/>
      <c r="G608" s="5"/>
      <c r="H608" s="5"/>
      <c r="I608" s="5"/>
      <c r="J608" s="5"/>
      <c r="K608" s="5"/>
    </row>
    <row r="609" spans="1:11" x14ac:dyDescent="0.35">
      <c r="A609" s="4"/>
      <c r="B609" s="5"/>
      <c r="C609" s="5"/>
      <c r="D609" s="5"/>
      <c r="E609" s="5"/>
      <c r="F609" s="5"/>
      <c r="G609" s="5"/>
      <c r="H609" s="5"/>
      <c r="I609" s="5"/>
      <c r="J609" s="5"/>
      <c r="K609" s="5"/>
    </row>
    <row r="610" spans="1:11" x14ac:dyDescent="0.35">
      <c r="A610" s="4"/>
      <c r="B610" s="5"/>
      <c r="C610" s="5"/>
      <c r="D610" s="5"/>
      <c r="E610" s="5"/>
      <c r="F610" s="5"/>
      <c r="G610" s="5"/>
      <c r="H610" s="5"/>
      <c r="I610" s="5"/>
      <c r="J610" s="5"/>
      <c r="K610" s="5"/>
    </row>
    <row r="611" spans="1:11" x14ac:dyDescent="0.35">
      <c r="A611" s="4"/>
      <c r="B611" s="5"/>
      <c r="C611" s="5"/>
      <c r="D611" s="5"/>
      <c r="E611" s="5"/>
      <c r="F611" s="5"/>
      <c r="G611" s="5"/>
      <c r="H611" s="5"/>
      <c r="I611" s="5"/>
      <c r="J611" s="5"/>
      <c r="K611" s="5"/>
    </row>
    <row r="612" spans="1:11" x14ac:dyDescent="0.35">
      <c r="A612" s="4"/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 spans="1:11" x14ac:dyDescent="0.35">
      <c r="A613" s="4"/>
      <c r="B613" s="5"/>
      <c r="C613" s="5"/>
      <c r="D613" s="5"/>
      <c r="E613" s="5"/>
      <c r="F613" s="5"/>
      <c r="G613" s="5"/>
      <c r="H613" s="5"/>
      <c r="I613" s="5"/>
      <c r="J613" s="5"/>
      <c r="K613" s="5"/>
    </row>
    <row r="614" spans="1:11" x14ac:dyDescent="0.35">
      <c r="A614" s="4"/>
      <c r="B614" s="5"/>
      <c r="C614" s="5"/>
      <c r="D614" s="5"/>
      <c r="E614" s="5"/>
      <c r="F614" s="5"/>
      <c r="G614" s="5"/>
      <c r="H614" s="5"/>
      <c r="I614" s="5"/>
      <c r="J614" s="5"/>
      <c r="K614" s="5"/>
    </row>
    <row r="615" spans="1:11" x14ac:dyDescent="0.35">
      <c r="A615" s="4"/>
      <c r="B615" s="5"/>
      <c r="C615" s="5"/>
      <c r="D615" s="5"/>
      <c r="E615" s="5"/>
      <c r="F615" s="5"/>
      <c r="G615" s="5"/>
      <c r="H615" s="5"/>
      <c r="I615" s="5"/>
      <c r="J615" s="5"/>
      <c r="K615" s="5"/>
    </row>
    <row r="616" spans="1:11" x14ac:dyDescent="0.35">
      <c r="A616" s="4"/>
      <c r="B616" s="5"/>
      <c r="C616" s="5"/>
      <c r="D616" s="5"/>
      <c r="E616" s="5"/>
      <c r="F616" s="5"/>
      <c r="G616" s="5"/>
      <c r="H616" s="5"/>
      <c r="I616" s="5"/>
      <c r="J616" s="5"/>
      <c r="K616" s="5"/>
    </row>
    <row r="617" spans="1:11" x14ac:dyDescent="0.35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</row>
    <row r="618" spans="1:11" x14ac:dyDescent="0.35">
      <c r="A618" s="4"/>
      <c r="B618" s="5"/>
      <c r="C618" s="5"/>
      <c r="D618" s="5"/>
      <c r="E618" s="5"/>
      <c r="F618" s="5"/>
      <c r="G618" s="5"/>
      <c r="H618" s="5"/>
      <c r="I618" s="5"/>
      <c r="J618" s="5"/>
      <c r="K618" s="5"/>
    </row>
    <row r="619" spans="1:11" x14ac:dyDescent="0.35">
      <c r="A619" s="4"/>
      <c r="B619" s="5"/>
      <c r="C619" s="5"/>
      <c r="D619" s="5"/>
      <c r="E619" s="5"/>
      <c r="F619" s="5"/>
      <c r="G619" s="5"/>
      <c r="H619" s="5"/>
      <c r="I619" s="5"/>
      <c r="J619" s="5"/>
      <c r="K619" s="5"/>
    </row>
    <row r="620" spans="1:11" x14ac:dyDescent="0.35">
      <c r="A620" s="4"/>
      <c r="B620" s="5"/>
      <c r="C620" s="5"/>
      <c r="D620" s="5"/>
      <c r="E620" s="5"/>
      <c r="F620" s="5"/>
      <c r="G620" s="5"/>
      <c r="H620" s="5"/>
      <c r="I620" s="5"/>
      <c r="J620" s="5"/>
      <c r="K620" s="5"/>
    </row>
    <row r="621" spans="1:11" x14ac:dyDescent="0.35">
      <c r="A621" s="4"/>
      <c r="B621" s="5"/>
      <c r="C621" s="5"/>
      <c r="D621" s="5"/>
      <c r="E621" s="5"/>
      <c r="F621" s="5"/>
      <c r="G621" s="5"/>
      <c r="H621" s="5"/>
      <c r="I621" s="5"/>
      <c r="J621" s="5"/>
      <c r="K621" s="5"/>
    </row>
    <row r="622" spans="1:11" x14ac:dyDescent="0.35">
      <c r="A622" s="4"/>
      <c r="B622" s="5"/>
      <c r="C622" s="5"/>
      <c r="D622" s="5"/>
      <c r="E622" s="5"/>
      <c r="F622" s="5"/>
      <c r="G622" s="5"/>
      <c r="H622" s="5"/>
      <c r="I622" s="5"/>
      <c r="J622" s="5"/>
      <c r="K622" s="5"/>
    </row>
    <row r="623" spans="1:11" x14ac:dyDescent="0.35">
      <c r="A623" s="4"/>
      <c r="B623" s="5"/>
      <c r="C623" s="5"/>
      <c r="D623" s="5"/>
      <c r="E623" s="5"/>
      <c r="F623" s="5"/>
      <c r="G623" s="5"/>
      <c r="H623" s="5"/>
      <c r="I623" s="5"/>
      <c r="J623" s="5"/>
      <c r="K623" s="5"/>
    </row>
    <row r="624" spans="1:11" x14ac:dyDescent="0.35">
      <c r="A624" s="4"/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 spans="1:11" x14ac:dyDescent="0.35">
      <c r="A625" s="4"/>
      <c r="B625" s="5"/>
      <c r="C625" s="5"/>
      <c r="D625" s="5"/>
      <c r="E625" s="5"/>
      <c r="F625" s="5"/>
      <c r="G625" s="5"/>
      <c r="H625" s="5"/>
      <c r="I625" s="5"/>
      <c r="J625" s="5"/>
      <c r="K625" s="5"/>
    </row>
    <row r="626" spans="1:11" x14ac:dyDescent="0.35">
      <c r="A626" s="4"/>
      <c r="B626" s="5"/>
      <c r="C626" s="5"/>
      <c r="D626" s="5"/>
      <c r="E626" s="5"/>
      <c r="F626" s="5"/>
      <c r="G626" s="5"/>
      <c r="H626" s="5"/>
      <c r="I626" s="5"/>
      <c r="J626" s="5"/>
      <c r="K626" s="5"/>
    </row>
    <row r="627" spans="1:11" x14ac:dyDescent="0.35">
      <c r="A627" s="4"/>
      <c r="B627" s="5"/>
      <c r="C627" s="5"/>
      <c r="D627" s="5"/>
      <c r="E627" s="5"/>
      <c r="F627" s="5"/>
      <c r="G627" s="5"/>
      <c r="H627" s="5"/>
      <c r="I627" s="5"/>
      <c r="J627" s="5"/>
      <c r="K627" s="5"/>
    </row>
    <row r="628" spans="1:11" x14ac:dyDescent="0.35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</row>
    <row r="629" spans="1:11" x14ac:dyDescent="0.35">
      <c r="A629" s="4"/>
      <c r="B629" s="5"/>
      <c r="C629" s="5"/>
      <c r="D629" s="5"/>
      <c r="E629" s="5"/>
      <c r="F629" s="5"/>
      <c r="G629" s="5"/>
      <c r="H629" s="5"/>
      <c r="I629" s="5"/>
      <c r="J629" s="5"/>
      <c r="K629" s="5"/>
    </row>
    <row r="630" spans="1:11" x14ac:dyDescent="0.35">
      <c r="A630" s="4"/>
      <c r="B630" s="5"/>
      <c r="C630" s="5"/>
      <c r="D630" s="5"/>
      <c r="E630" s="5"/>
      <c r="F630" s="5"/>
      <c r="G630" s="5"/>
      <c r="H630" s="5"/>
      <c r="I630" s="5"/>
      <c r="J630" s="5"/>
      <c r="K630" s="5"/>
    </row>
    <row r="631" spans="1:11" x14ac:dyDescent="0.35">
      <c r="A631" s="4"/>
      <c r="B631" s="5"/>
      <c r="C631" s="5"/>
      <c r="D631" s="5"/>
      <c r="E631" s="5"/>
      <c r="F631" s="5"/>
      <c r="G631" s="5"/>
      <c r="H631" s="5"/>
      <c r="I631" s="5"/>
      <c r="J631" s="5"/>
      <c r="K631" s="5"/>
    </row>
    <row r="632" spans="1:11" x14ac:dyDescent="0.35">
      <c r="A632" s="4"/>
      <c r="B632" s="5"/>
      <c r="C632" s="5"/>
      <c r="D632" s="5"/>
      <c r="E632" s="5"/>
      <c r="F632" s="5"/>
      <c r="G632" s="5"/>
      <c r="H632" s="5"/>
      <c r="I632" s="5"/>
      <c r="J632" s="5"/>
      <c r="K632" s="5"/>
    </row>
    <row r="633" spans="1:11" x14ac:dyDescent="0.35">
      <c r="A633" s="4"/>
      <c r="B633" s="5"/>
      <c r="C633" s="5"/>
      <c r="D633" s="5"/>
      <c r="E633" s="5"/>
      <c r="F633" s="5"/>
      <c r="G633" s="5"/>
      <c r="H633" s="5"/>
      <c r="I633" s="5"/>
      <c r="J633" s="5"/>
      <c r="K633" s="5"/>
    </row>
    <row r="634" spans="1:11" x14ac:dyDescent="0.35">
      <c r="A634" s="4"/>
      <c r="B634" s="5"/>
      <c r="C634" s="5"/>
      <c r="D634" s="5"/>
      <c r="E634" s="5"/>
      <c r="F634" s="5"/>
      <c r="G634" s="5"/>
      <c r="H634" s="5"/>
      <c r="I634" s="5"/>
      <c r="J634" s="5"/>
      <c r="K634" s="5"/>
    </row>
    <row r="635" spans="1:11" x14ac:dyDescent="0.35">
      <c r="A635" s="4"/>
      <c r="B635" s="5"/>
      <c r="C635" s="5"/>
      <c r="D635" s="5"/>
      <c r="E635" s="5"/>
      <c r="F635" s="5"/>
      <c r="G635" s="5"/>
      <c r="H635" s="5"/>
      <c r="I635" s="5"/>
      <c r="J635" s="5"/>
      <c r="K635" s="5"/>
    </row>
    <row r="636" spans="1:11" x14ac:dyDescent="0.35">
      <c r="A636" s="4"/>
      <c r="B636" s="5"/>
      <c r="C636" s="5"/>
      <c r="D636" s="5"/>
      <c r="E636" s="5"/>
      <c r="F636" s="5"/>
      <c r="G636" s="5"/>
      <c r="H636" s="5"/>
      <c r="I636" s="5"/>
      <c r="J636" s="5"/>
      <c r="K636" s="5"/>
    </row>
    <row r="637" spans="1:11" x14ac:dyDescent="0.35">
      <c r="A637" s="4"/>
      <c r="B637" s="5"/>
      <c r="C637" s="5"/>
      <c r="D637" s="5"/>
      <c r="E637" s="5"/>
      <c r="F637" s="5"/>
      <c r="G637" s="5"/>
      <c r="H637" s="5"/>
      <c r="I637" s="5"/>
      <c r="J637" s="5"/>
      <c r="K637" s="5"/>
    </row>
    <row r="638" spans="1:11" x14ac:dyDescent="0.35">
      <c r="A638" s="4"/>
      <c r="B638" s="5"/>
      <c r="C638" s="5"/>
      <c r="D638" s="5"/>
      <c r="E638" s="5"/>
      <c r="F638" s="5"/>
      <c r="G638" s="5"/>
      <c r="H638" s="5"/>
      <c r="I638" s="5"/>
      <c r="J638" s="5"/>
      <c r="K638" s="5"/>
    </row>
    <row r="639" spans="1:11" x14ac:dyDescent="0.35">
      <c r="A639" s="4"/>
      <c r="B639" s="5"/>
      <c r="C639" s="5"/>
      <c r="D639" s="5"/>
      <c r="E639" s="5"/>
      <c r="F639" s="5"/>
      <c r="G639" s="5"/>
      <c r="H639" s="5"/>
      <c r="I639" s="5"/>
      <c r="J639" s="5"/>
      <c r="K639" s="5"/>
    </row>
    <row r="640" spans="1:11" x14ac:dyDescent="0.35">
      <c r="A640" s="4"/>
      <c r="B640" s="5"/>
      <c r="C640" s="5"/>
      <c r="D640" s="5"/>
      <c r="E640" s="5"/>
      <c r="F640" s="5"/>
      <c r="G640" s="5"/>
      <c r="H640" s="5"/>
      <c r="I640" s="5"/>
      <c r="J640" s="5"/>
      <c r="K640" s="5"/>
    </row>
    <row r="641" spans="1:11" x14ac:dyDescent="0.35">
      <c r="A641" s="4"/>
      <c r="B641" s="5"/>
      <c r="C641" s="5"/>
      <c r="D641" s="5"/>
      <c r="E641" s="5"/>
      <c r="F641" s="5"/>
      <c r="G641" s="5"/>
      <c r="H641" s="5"/>
      <c r="I641" s="5"/>
      <c r="J641" s="5"/>
      <c r="K641" s="5"/>
    </row>
    <row r="642" spans="1:11" x14ac:dyDescent="0.35">
      <c r="A642" s="4"/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 spans="1:11" x14ac:dyDescent="0.35">
      <c r="A643" s="4"/>
      <c r="B643" s="5"/>
      <c r="C643" s="5"/>
      <c r="D643" s="5"/>
      <c r="E643" s="5"/>
      <c r="F643" s="5"/>
      <c r="G643" s="5"/>
      <c r="H643" s="5"/>
      <c r="I643" s="5"/>
      <c r="J643" s="5"/>
      <c r="K643" s="5"/>
    </row>
    <row r="644" spans="1:11" x14ac:dyDescent="0.35">
      <c r="A644" s="4"/>
      <c r="B644" s="5"/>
      <c r="C644" s="5"/>
      <c r="D644" s="5"/>
      <c r="E644" s="5"/>
      <c r="F644" s="5"/>
      <c r="G644" s="5"/>
      <c r="H644" s="5"/>
      <c r="I644" s="5"/>
      <c r="J644" s="5"/>
      <c r="K644" s="5"/>
    </row>
    <row r="645" spans="1:11" x14ac:dyDescent="0.35">
      <c r="A645" s="4"/>
      <c r="B645" s="5"/>
      <c r="C645" s="5"/>
      <c r="D645" s="5"/>
      <c r="E645" s="5"/>
      <c r="F645" s="5"/>
      <c r="G645" s="5"/>
      <c r="H645" s="5"/>
      <c r="I645" s="5"/>
      <c r="J645" s="5"/>
      <c r="K645" s="5"/>
    </row>
    <row r="646" spans="1:11" x14ac:dyDescent="0.35">
      <c r="A646" s="4"/>
      <c r="B646" s="5"/>
      <c r="C646" s="5"/>
      <c r="D646" s="5"/>
      <c r="E646" s="5"/>
      <c r="F646" s="5"/>
      <c r="G646" s="5"/>
      <c r="H646" s="5"/>
      <c r="I646" s="5"/>
      <c r="J646" s="5"/>
      <c r="K646" s="5"/>
    </row>
    <row r="647" spans="1:11" x14ac:dyDescent="0.35">
      <c r="A647" s="4"/>
      <c r="B647" s="5"/>
      <c r="C647" s="5"/>
      <c r="D647" s="5"/>
      <c r="E647" s="5"/>
      <c r="F647" s="5"/>
      <c r="G647" s="5"/>
      <c r="H647" s="5"/>
      <c r="I647" s="5"/>
      <c r="J647" s="5"/>
      <c r="K647" s="5"/>
    </row>
    <row r="648" spans="1:11" x14ac:dyDescent="0.35">
      <c r="A648" s="4"/>
      <c r="B648" s="5"/>
      <c r="C648" s="5"/>
      <c r="D648" s="5"/>
      <c r="E648" s="5"/>
      <c r="F648" s="5"/>
      <c r="G648" s="5"/>
      <c r="H648" s="5"/>
      <c r="I648" s="5"/>
      <c r="J648" s="5"/>
      <c r="K648" s="5"/>
    </row>
    <row r="649" spans="1:11" x14ac:dyDescent="0.35">
      <c r="A649" s="4"/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 spans="1:11" x14ac:dyDescent="0.35">
      <c r="A650" s="4"/>
      <c r="B650" s="5"/>
      <c r="C650" s="5"/>
      <c r="D650" s="5"/>
      <c r="E650" s="5"/>
      <c r="F650" s="5"/>
      <c r="G650" s="5"/>
      <c r="H650" s="5"/>
      <c r="I650" s="5"/>
      <c r="J650" s="5"/>
      <c r="K650" s="5"/>
    </row>
    <row r="651" spans="1:11" x14ac:dyDescent="0.35">
      <c r="A651" s="4"/>
      <c r="B651" s="5"/>
      <c r="C651" s="5"/>
      <c r="D651" s="5"/>
      <c r="E651" s="5"/>
      <c r="F651" s="5"/>
      <c r="G651" s="5"/>
      <c r="H651" s="5"/>
      <c r="I651" s="5"/>
      <c r="J651" s="5"/>
      <c r="K651" s="5"/>
    </row>
    <row r="652" spans="1:11" x14ac:dyDescent="0.35">
      <c r="A652" s="4"/>
      <c r="B652" s="5"/>
      <c r="C652" s="5"/>
      <c r="D652" s="5"/>
      <c r="E652" s="5"/>
      <c r="F652" s="5"/>
      <c r="G652" s="5"/>
      <c r="H652" s="5"/>
      <c r="I652" s="5"/>
      <c r="J652" s="5"/>
      <c r="K652" s="5"/>
    </row>
    <row r="653" spans="1:11" x14ac:dyDescent="0.35">
      <c r="A653" s="4"/>
      <c r="B653" s="5"/>
      <c r="C653" s="5"/>
      <c r="D653" s="5"/>
      <c r="E653" s="5"/>
      <c r="F653" s="5"/>
      <c r="G653" s="5"/>
      <c r="H653" s="5"/>
      <c r="I653" s="5"/>
      <c r="J653" s="5"/>
      <c r="K653" s="5"/>
    </row>
    <row r="654" spans="1:11" x14ac:dyDescent="0.35">
      <c r="A654" s="4"/>
      <c r="B654" s="5"/>
      <c r="C654" s="5"/>
      <c r="D654" s="5"/>
      <c r="E654" s="5"/>
      <c r="F654" s="5"/>
      <c r="G654" s="5"/>
      <c r="H654" s="5"/>
      <c r="I654" s="5"/>
      <c r="J654" s="5"/>
      <c r="K654" s="5"/>
    </row>
    <row r="655" spans="1:11" x14ac:dyDescent="0.35">
      <c r="A655" s="4"/>
      <c r="B655" s="5"/>
      <c r="C655" s="5"/>
      <c r="D655" s="5"/>
      <c r="E655" s="5"/>
      <c r="F655" s="5"/>
      <c r="G655" s="5"/>
      <c r="H655" s="5"/>
      <c r="I655" s="5"/>
      <c r="J655" s="5"/>
      <c r="K655" s="5"/>
    </row>
    <row r="656" spans="1:11" x14ac:dyDescent="0.35">
      <c r="A656" s="4"/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 spans="1:11" x14ac:dyDescent="0.35">
      <c r="A657" s="4"/>
      <c r="B657" s="5"/>
      <c r="C657" s="5"/>
      <c r="D657" s="5"/>
      <c r="E657" s="5"/>
      <c r="F657" s="5"/>
      <c r="G657" s="5"/>
      <c r="H657" s="5"/>
      <c r="I657" s="5"/>
      <c r="J657" s="5"/>
      <c r="K657" s="5"/>
    </row>
    <row r="658" spans="1:11" x14ac:dyDescent="0.35">
      <c r="A658" s="4"/>
      <c r="B658" s="5"/>
      <c r="C658" s="5"/>
      <c r="D658" s="5"/>
      <c r="E658" s="5"/>
      <c r="F658" s="5"/>
      <c r="G658" s="5"/>
      <c r="H658" s="5"/>
      <c r="I658" s="5"/>
      <c r="J658" s="5"/>
      <c r="K658" s="5"/>
    </row>
    <row r="659" spans="1:11" x14ac:dyDescent="0.35">
      <c r="A659" s="4"/>
      <c r="B659" s="5"/>
      <c r="C659" s="5"/>
      <c r="D659" s="5"/>
      <c r="E659" s="5"/>
      <c r="F659" s="5"/>
      <c r="G659" s="5"/>
      <c r="H659" s="5"/>
      <c r="I659" s="5"/>
      <c r="J659" s="5"/>
      <c r="K659" s="5"/>
    </row>
    <row r="660" spans="1:11" x14ac:dyDescent="0.35">
      <c r="A660" s="4"/>
      <c r="B660" s="5"/>
      <c r="C660" s="5"/>
      <c r="D660" s="5"/>
      <c r="E660" s="5"/>
      <c r="F660" s="5"/>
      <c r="G660" s="5"/>
      <c r="H660" s="5"/>
      <c r="I660" s="5"/>
      <c r="J660" s="5"/>
      <c r="K660" s="5"/>
    </row>
    <row r="661" spans="1:11" x14ac:dyDescent="0.35">
      <c r="A661" s="4"/>
      <c r="B661" s="5"/>
      <c r="C661" s="5"/>
      <c r="D661" s="5"/>
      <c r="E661" s="5"/>
      <c r="F661" s="5"/>
      <c r="G661" s="5"/>
      <c r="H661" s="5"/>
      <c r="I661" s="5"/>
      <c r="J661" s="5"/>
      <c r="K661" s="5"/>
    </row>
    <row r="662" spans="1:11" x14ac:dyDescent="0.35">
      <c r="A662" s="4"/>
      <c r="B662" s="5"/>
      <c r="C662" s="5"/>
      <c r="D662" s="5"/>
      <c r="E662" s="5"/>
      <c r="F662" s="5"/>
      <c r="G662" s="5"/>
      <c r="H662" s="5"/>
      <c r="I662" s="5"/>
      <c r="J662" s="5"/>
      <c r="K662" s="5"/>
    </row>
    <row r="663" spans="1:11" x14ac:dyDescent="0.35">
      <c r="A663" s="4"/>
      <c r="B663" s="5"/>
      <c r="C663" s="5"/>
      <c r="D663" s="5"/>
      <c r="E663" s="5"/>
      <c r="F663" s="5"/>
      <c r="G663" s="5"/>
      <c r="H663" s="5"/>
      <c r="I663" s="5"/>
      <c r="J663" s="5"/>
      <c r="K663" s="5"/>
    </row>
    <row r="664" spans="1:11" x14ac:dyDescent="0.35">
      <c r="A664" s="4"/>
      <c r="B664" s="5"/>
      <c r="C664" s="5"/>
      <c r="D664" s="5"/>
      <c r="E664" s="5"/>
      <c r="F664" s="5"/>
      <c r="G664" s="5"/>
      <c r="H664" s="5"/>
      <c r="I664" s="5"/>
      <c r="J664" s="5"/>
      <c r="K664" s="5"/>
    </row>
    <row r="665" spans="1:11" x14ac:dyDescent="0.35">
      <c r="A665" s="4"/>
      <c r="B665" s="5"/>
      <c r="C665" s="5"/>
      <c r="D665" s="5"/>
      <c r="E665" s="5"/>
      <c r="F665" s="5"/>
      <c r="G665" s="5"/>
      <c r="H665" s="5"/>
      <c r="I665" s="5"/>
      <c r="J665" s="5"/>
      <c r="K665" s="5"/>
    </row>
    <row r="666" spans="1:11" x14ac:dyDescent="0.35">
      <c r="A666" s="4"/>
      <c r="B666" s="5"/>
      <c r="C666" s="5"/>
      <c r="D666" s="5"/>
      <c r="E666" s="5"/>
      <c r="F666" s="5"/>
      <c r="G666" s="5"/>
      <c r="H666" s="5"/>
      <c r="I666" s="5"/>
      <c r="J666" s="5"/>
      <c r="K666" s="5"/>
    </row>
    <row r="667" spans="1:11" x14ac:dyDescent="0.35">
      <c r="A667" s="4"/>
      <c r="B667" s="5"/>
      <c r="C667" s="5"/>
      <c r="D667" s="5"/>
      <c r="E667" s="5"/>
      <c r="F667" s="5"/>
      <c r="G667" s="5"/>
      <c r="H667" s="5"/>
      <c r="I667" s="5"/>
      <c r="J667" s="5"/>
      <c r="K667" s="5"/>
    </row>
    <row r="668" spans="1:11" x14ac:dyDescent="0.35">
      <c r="A668" s="4"/>
      <c r="B668" s="5"/>
      <c r="C668" s="5"/>
      <c r="D668" s="5"/>
      <c r="E668" s="5"/>
      <c r="F668" s="5"/>
      <c r="G668" s="5"/>
      <c r="H668" s="5"/>
      <c r="I668" s="5"/>
      <c r="J668" s="5"/>
      <c r="K668" s="5"/>
    </row>
    <row r="669" spans="1:11" x14ac:dyDescent="0.35">
      <c r="A669" s="4"/>
      <c r="B669" s="5"/>
      <c r="C669" s="5"/>
      <c r="D669" s="5"/>
      <c r="E669" s="5"/>
      <c r="F669" s="5"/>
      <c r="G669" s="5"/>
      <c r="H669" s="5"/>
      <c r="I669" s="5"/>
      <c r="J669" s="5"/>
      <c r="K669" s="5"/>
    </row>
    <row r="670" spans="1:11" x14ac:dyDescent="0.35">
      <c r="A670" s="4"/>
      <c r="B670" s="5"/>
      <c r="C670" s="5"/>
      <c r="D670" s="5"/>
      <c r="E670" s="5"/>
      <c r="F670" s="5"/>
      <c r="G670" s="5"/>
      <c r="H670" s="5"/>
      <c r="I670" s="5"/>
      <c r="J670" s="5"/>
      <c r="K670" s="5"/>
    </row>
    <row r="671" spans="1:11" x14ac:dyDescent="0.35">
      <c r="A671" s="4"/>
      <c r="B671" s="5"/>
      <c r="C671" s="5"/>
      <c r="D671" s="5"/>
      <c r="E671" s="5"/>
      <c r="F671" s="5"/>
      <c r="G671" s="5"/>
      <c r="H671" s="5"/>
      <c r="I671" s="5"/>
      <c r="J671" s="5"/>
      <c r="K671" s="5"/>
    </row>
    <row r="672" spans="1:11" x14ac:dyDescent="0.35">
      <c r="A672" s="4"/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 spans="1:11" x14ac:dyDescent="0.35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</row>
    <row r="674" spans="1:11" x14ac:dyDescent="0.35">
      <c r="A674" s="4"/>
      <c r="B674" s="5"/>
      <c r="C674" s="5"/>
      <c r="D674" s="5"/>
      <c r="E674" s="5"/>
      <c r="F674" s="5"/>
      <c r="G674" s="5"/>
      <c r="H674" s="5"/>
      <c r="I674" s="5"/>
      <c r="J674" s="5"/>
      <c r="K674" s="5"/>
    </row>
    <row r="675" spans="1:11" x14ac:dyDescent="0.35">
      <c r="A675" s="4"/>
      <c r="B675" s="5"/>
      <c r="C675" s="5"/>
      <c r="D675" s="5"/>
      <c r="E675" s="5"/>
      <c r="F675" s="5"/>
      <c r="G675" s="5"/>
      <c r="H675" s="5"/>
      <c r="I675" s="5"/>
      <c r="J675" s="5"/>
      <c r="K675" s="5"/>
    </row>
    <row r="676" spans="1:11" x14ac:dyDescent="0.35">
      <c r="A676" s="4"/>
      <c r="B676" s="5"/>
      <c r="C676" s="5"/>
      <c r="D676" s="5"/>
      <c r="E676" s="5"/>
      <c r="F676" s="5"/>
      <c r="G676" s="5"/>
      <c r="H676" s="5"/>
      <c r="I676" s="5"/>
      <c r="J676" s="5"/>
      <c r="K676" s="5"/>
    </row>
    <row r="677" spans="1:11" x14ac:dyDescent="0.35">
      <c r="A677" s="4"/>
      <c r="B677" s="5"/>
      <c r="C677" s="5"/>
      <c r="D677" s="5"/>
      <c r="E677" s="5"/>
      <c r="F677" s="5"/>
      <c r="G677" s="5"/>
      <c r="H677" s="5"/>
      <c r="I677" s="5"/>
      <c r="J677" s="5"/>
      <c r="K677" s="5"/>
    </row>
    <row r="678" spans="1:11" x14ac:dyDescent="0.35">
      <c r="A678" s="4"/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 spans="1:11" x14ac:dyDescent="0.35">
      <c r="A679" s="4"/>
      <c r="B679" s="5"/>
      <c r="C679" s="5"/>
      <c r="D679" s="5"/>
      <c r="E679" s="5"/>
      <c r="F679" s="5"/>
      <c r="G679" s="5"/>
      <c r="H679" s="5"/>
      <c r="I679" s="5"/>
      <c r="J679" s="5"/>
      <c r="K679" s="5"/>
    </row>
    <row r="680" spans="1:11" x14ac:dyDescent="0.35">
      <c r="A680" s="4"/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 spans="1:11" x14ac:dyDescent="0.35">
      <c r="A681" s="4"/>
      <c r="B681" s="5"/>
      <c r="C681" s="5"/>
      <c r="D681" s="5"/>
      <c r="E681" s="5"/>
      <c r="F681" s="5"/>
      <c r="G681" s="5"/>
      <c r="H681" s="5"/>
      <c r="I681" s="5"/>
      <c r="J681" s="5"/>
      <c r="K681" s="5"/>
    </row>
    <row r="682" spans="1:11" x14ac:dyDescent="0.35">
      <c r="A682" s="4"/>
      <c r="B682" s="5"/>
      <c r="C682" s="5"/>
      <c r="D682" s="5"/>
      <c r="E682" s="5"/>
      <c r="F682" s="5"/>
      <c r="G682" s="5"/>
      <c r="H682" s="5"/>
      <c r="I682" s="5"/>
      <c r="J682" s="5"/>
      <c r="K682" s="5"/>
    </row>
    <row r="683" spans="1:11" x14ac:dyDescent="0.35">
      <c r="A683" s="4"/>
      <c r="B683" s="5"/>
      <c r="C683" s="5"/>
      <c r="D683" s="5"/>
      <c r="E683" s="5"/>
      <c r="F683" s="5"/>
      <c r="G683" s="5"/>
      <c r="H683" s="5"/>
      <c r="I683" s="5"/>
      <c r="J683" s="5"/>
      <c r="K683" s="5"/>
    </row>
    <row r="684" spans="1:11" x14ac:dyDescent="0.35">
      <c r="A684" s="4"/>
      <c r="B684" s="5"/>
      <c r="C684" s="5"/>
      <c r="D684" s="5"/>
      <c r="E684" s="5"/>
      <c r="F684" s="5"/>
      <c r="G684" s="5"/>
      <c r="H684" s="5"/>
      <c r="I684" s="5"/>
      <c r="J684" s="5"/>
      <c r="K684" s="5"/>
    </row>
    <row r="685" spans="1:11" x14ac:dyDescent="0.35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</row>
    <row r="686" spans="1:11" x14ac:dyDescent="0.35">
      <c r="A686" s="4"/>
      <c r="B686" s="5"/>
      <c r="C686" s="5"/>
      <c r="D686" s="5"/>
      <c r="E686" s="5"/>
      <c r="F686" s="5"/>
      <c r="G686" s="5"/>
      <c r="H686" s="5"/>
      <c r="I686" s="5"/>
      <c r="J686" s="5"/>
      <c r="K686" s="5"/>
    </row>
    <row r="687" spans="1:11" x14ac:dyDescent="0.35">
      <c r="A687" s="4"/>
      <c r="B687" s="5"/>
      <c r="C687" s="5"/>
      <c r="D687" s="5"/>
      <c r="E687" s="5"/>
      <c r="F687" s="5"/>
      <c r="G687" s="5"/>
      <c r="H687" s="5"/>
      <c r="I687" s="5"/>
      <c r="J687" s="5"/>
      <c r="K687" s="5"/>
    </row>
    <row r="688" spans="1:11" x14ac:dyDescent="0.35">
      <c r="A688" s="4"/>
      <c r="B688" s="5"/>
      <c r="C688" s="5"/>
      <c r="D688" s="5"/>
      <c r="E688" s="5"/>
      <c r="F688" s="5"/>
      <c r="G688" s="5"/>
      <c r="H688" s="5"/>
      <c r="I688" s="5"/>
      <c r="J688" s="5"/>
      <c r="K688" s="5"/>
    </row>
    <row r="689" spans="1:11" x14ac:dyDescent="0.35">
      <c r="A689" s="4"/>
      <c r="B689" s="5"/>
      <c r="C689" s="5"/>
      <c r="D689" s="5"/>
      <c r="E689" s="5"/>
      <c r="F689" s="5"/>
      <c r="G689" s="5"/>
      <c r="H689" s="5"/>
      <c r="I689" s="5"/>
      <c r="J689" s="5"/>
      <c r="K689" s="5"/>
    </row>
    <row r="690" spans="1:11" x14ac:dyDescent="0.35">
      <c r="A690" s="4"/>
      <c r="B690" s="5"/>
      <c r="C690" s="5"/>
      <c r="D690" s="5"/>
      <c r="E690" s="5"/>
      <c r="F690" s="5"/>
      <c r="G690" s="5"/>
      <c r="H690" s="5"/>
      <c r="I690" s="5"/>
      <c r="J690" s="5"/>
      <c r="K690" s="5"/>
    </row>
    <row r="691" spans="1:11" x14ac:dyDescent="0.35">
      <c r="A691" s="4"/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 spans="1:11" x14ac:dyDescent="0.35">
      <c r="A692" s="4"/>
      <c r="B692" s="5"/>
      <c r="C692" s="5"/>
      <c r="D692" s="5"/>
      <c r="E692" s="5"/>
      <c r="F692" s="5"/>
      <c r="G692" s="5"/>
      <c r="H692" s="5"/>
      <c r="I692" s="5"/>
      <c r="J692" s="5"/>
      <c r="K692" s="5"/>
    </row>
    <row r="693" spans="1:11" x14ac:dyDescent="0.35">
      <c r="A693" s="4"/>
      <c r="B693" s="5"/>
      <c r="C693" s="5"/>
      <c r="D693" s="5"/>
      <c r="E693" s="5"/>
      <c r="F693" s="5"/>
      <c r="G693" s="5"/>
      <c r="H693" s="5"/>
      <c r="I693" s="5"/>
      <c r="J693" s="5"/>
      <c r="K693" s="5"/>
    </row>
    <row r="694" spans="1:11" x14ac:dyDescent="0.35">
      <c r="A694" s="4"/>
      <c r="B694" s="5"/>
      <c r="C694" s="5"/>
      <c r="D694" s="5"/>
      <c r="E694" s="5"/>
      <c r="F694" s="5"/>
      <c r="G694" s="5"/>
      <c r="H694" s="5"/>
      <c r="I694" s="5"/>
      <c r="J694" s="5"/>
      <c r="K694" s="5"/>
    </row>
    <row r="695" spans="1:11" x14ac:dyDescent="0.35">
      <c r="A695" s="4"/>
      <c r="B695" s="5"/>
      <c r="C695" s="5"/>
      <c r="D695" s="5"/>
      <c r="E695" s="5"/>
      <c r="F695" s="5"/>
      <c r="G695" s="5"/>
      <c r="H695" s="5"/>
      <c r="I695" s="5"/>
      <c r="J695" s="5"/>
      <c r="K695" s="5"/>
    </row>
    <row r="696" spans="1:11" x14ac:dyDescent="0.35">
      <c r="A696" s="4"/>
      <c r="B696" s="5"/>
      <c r="C696" s="5"/>
      <c r="D696" s="5"/>
      <c r="E696" s="5"/>
      <c r="F696" s="5"/>
      <c r="G696" s="5"/>
      <c r="H696" s="5"/>
      <c r="I696" s="5"/>
      <c r="J696" s="5"/>
      <c r="K696" s="5"/>
    </row>
    <row r="697" spans="1:11" x14ac:dyDescent="0.35">
      <c r="A697" s="4"/>
      <c r="B697" s="5"/>
      <c r="C697" s="5"/>
      <c r="D697" s="5"/>
      <c r="E697" s="5"/>
      <c r="F697" s="5"/>
      <c r="G697" s="5"/>
      <c r="H697" s="5"/>
      <c r="I697" s="5"/>
      <c r="J697" s="5"/>
      <c r="K697" s="5"/>
    </row>
    <row r="698" spans="1:11" x14ac:dyDescent="0.35">
      <c r="A698" s="4"/>
      <c r="B698" s="5"/>
      <c r="C698" s="5"/>
      <c r="D698" s="5"/>
      <c r="E698" s="5"/>
      <c r="F698" s="5"/>
      <c r="G698" s="5"/>
      <c r="H698" s="5"/>
      <c r="I698" s="5"/>
      <c r="J698" s="5"/>
      <c r="K698" s="5"/>
    </row>
    <row r="699" spans="1:11" x14ac:dyDescent="0.35">
      <c r="A699" s="4"/>
      <c r="B699" s="5"/>
      <c r="C699" s="5"/>
      <c r="D699" s="5"/>
      <c r="E699" s="5"/>
      <c r="F699" s="5"/>
      <c r="G699" s="5"/>
      <c r="H699" s="5"/>
      <c r="I699" s="5"/>
      <c r="J699" s="5"/>
      <c r="K699" s="5"/>
    </row>
    <row r="700" spans="1:11" x14ac:dyDescent="0.35">
      <c r="A700" s="4"/>
      <c r="B700" s="5"/>
      <c r="C700" s="5"/>
      <c r="D700" s="5"/>
      <c r="E700" s="5"/>
      <c r="F700" s="5"/>
      <c r="G700" s="5"/>
      <c r="H700" s="5"/>
      <c r="I700" s="5"/>
      <c r="J700" s="5"/>
      <c r="K700" s="5"/>
    </row>
    <row r="701" spans="1:11" x14ac:dyDescent="0.35">
      <c r="A701" s="4"/>
      <c r="B701" s="5"/>
      <c r="C701" s="5"/>
      <c r="D701" s="5"/>
      <c r="E701" s="5"/>
      <c r="F701" s="5"/>
      <c r="G701" s="5"/>
      <c r="H701" s="5"/>
      <c r="I701" s="5"/>
      <c r="J701" s="5"/>
      <c r="K701" s="5"/>
    </row>
    <row r="702" spans="1:11" x14ac:dyDescent="0.35">
      <c r="A702" s="4"/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 spans="1:11" x14ac:dyDescent="0.35">
      <c r="A703" s="4"/>
      <c r="B703" s="5"/>
      <c r="C703" s="5"/>
      <c r="D703" s="5"/>
      <c r="E703" s="5"/>
      <c r="F703" s="5"/>
      <c r="G703" s="5"/>
      <c r="H703" s="5"/>
      <c r="I703" s="5"/>
      <c r="J703" s="5"/>
      <c r="K703" s="5"/>
    </row>
    <row r="704" spans="1:11" x14ac:dyDescent="0.35">
      <c r="A704" s="4"/>
      <c r="B704" s="5"/>
      <c r="C704" s="5"/>
      <c r="D704" s="5"/>
      <c r="E704" s="5"/>
      <c r="F704" s="5"/>
      <c r="G704" s="5"/>
      <c r="H704" s="5"/>
      <c r="I704" s="5"/>
      <c r="J704" s="5"/>
      <c r="K704" s="5"/>
    </row>
    <row r="705" spans="1:11" x14ac:dyDescent="0.35">
      <c r="A705" s="4"/>
      <c r="B705" s="5"/>
      <c r="C705" s="5"/>
      <c r="D705" s="5"/>
      <c r="E705" s="5"/>
      <c r="F705" s="5"/>
      <c r="G705" s="5"/>
      <c r="H705" s="5"/>
      <c r="I705" s="5"/>
      <c r="J705" s="5"/>
      <c r="K705" s="5"/>
    </row>
    <row r="706" spans="1:11" x14ac:dyDescent="0.35">
      <c r="A706" s="4"/>
      <c r="B706" s="5"/>
      <c r="C706" s="5"/>
      <c r="D706" s="5"/>
      <c r="E706" s="5"/>
      <c r="F706" s="5"/>
      <c r="G706" s="5"/>
      <c r="H706" s="5"/>
      <c r="I706" s="5"/>
      <c r="J706" s="5"/>
      <c r="K706" s="5"/>
    </row>
    <row r="707" spans="1:11" x14ac:dyDescent="0.35">
      <c r="A707" s="4"/>
      <c r="B707" s="5"/>
      <c r="C707" s="5"/>
      <c r="D707" s="5"/>
      <c r="E707" s="5"/>
      <c r="F707" s="5"/>
      <c r="G707" s="5"/>
      <c r="H707" s="5"/>
      <c r="I707" s="5"/>
      <c r="J707" s="5"/>
      <c r="K707" s="5"/>
    </row>
    <row r="708" spans="1:11" x14ac:dyDescent="0.35">
      <c r="A708" s="4"/>
      <c r="B708" s="5"/>
      <c r="C708" s="5"/>
      <c r="D708" s="5"/>
      <c r="E708" s="5"/>
      <c r="F708" s="5"/>
      <c r="G708" s="5"/>
      <c r="H708" s="5"/>
      <c r="I708" s="5"/>
      <c r="J708" s="5"/>
      <c r="K708" s="5"/>
    </row>
    <row r="709" spans="1:11" x14ac:dyDescent="0.35">
      <c r="A709" s="4"/>
      <c r="B709" s="5"/>
      <c r="C709" s="5"/>
      <c r="D709" s="5"/>
      <c r="E709" s="5"/>
      <c r="F709" s="5"/>
      <c r="G709" s="5"/>
      <c r="H709" s="5"/>
      <c r="I709" s="5"/>
      <c r="J709" s="5"/>
      <c r="K709" s="5"/>
    </row>
    <row r="710" spans="1:11" x14ac:dyDescent="0.35">
      <c r="A710" s="4"/>
      <c r="B710" s="5"/>
      <c r="C710" s="5"/>
      <c r="D710" s="5"/>
      <c r="E710" s="5"/>
      <c r="F710" s="5"/>
      <c r="G710" s="5"/>
      <c r="H710" s="5"/>
      <c r="I710" s="5"/>
      <c r="J710" s="5"/>
      <c r="K710" s="5"/>
    </row>
    <row r="711" spans="1:11" x14ac:dyDescent="0.35">
      <c r="A711" s="4"/>
      <c r="B711" s="5"/>
      <c r="C711" s="5"/>
      <c r="D711" s="5"/>
      <c r="E711" s="5"/>
      <c r="F711" s="5"/>
      <c r="G711" s="5"/>
      <c r="H711" s="5"/>
      <c r="I711" s="5"/>
      <c r="J711" s="5"/>
      <c r="K711" s="5"/>
    </row>
    <row r="712" spans="1:11" x14ac:dyDescent="0.35">
      <c r="A712" s="4"/>
      <c r="B712" s="5"/>
      <c r="C712" s="5"/>
      <c r="D712" s="5"/>
      <c r="E712" s="5"/>
      <c r="F712" s="5"/>
      <c r="G712" s="5"/>
      <c r="H712" s="5"/>
      <c r="I712" s="5"/>
      <c r="J712" s="5"/>
      <c r="K712" s="5"/>
    </row>
    <row r="713" spans="1:11" x14ac:dyDescent="0.35">
      <c r="A713" s="4"/>
      <c r="B713" s="5"/>
      <c r="C713" s="5"/>
      <c r="D713" s="5"/>
      <c r="E713" s="5"/>
      <c r="F713" s="5"/>
      <c r="G713" s="5"/>
      <c r="H713" s="5"/>
      <c r="I713" s="5"/>
      <c r="J713" s="5"/>
      <c r="K713" s="5"/>
    </row>
    <row r="714" spans="1:11" x14ac:dyDescent="0.35">
      <c r="A714" s="4"/>
      <c r="B714" s="5"/>
      <c r="C714" s="5"/>
      <c r="D714" s="5"/>
      <c r="E714" s="5"/>
      <c r="F714" s="5"/>
      <c r="G714" s="5"/>
      <c r="H714" s="5"/>
      <c r="I714" s="5"/>
      <c r="J714" s="5"/>
      <c r="K714" s="5"/>
    </row>
    <row r="715" spans="1:11" x14ac:dyDescent="0.35">
      <c r="A715" s="4"/>
      <c r="B715" s="5"/>
      <c r="C715" s="5"/>
      <c r="D715" s="5"/>
      <c r="E715" s="5"/>
      <c r="F715" s="5"/>
      <c r="G715" s="5"/>
      <c r="H715" s="5"/>
      <c r="I715" s="5"/>
      <c r="J715" s="5"/>
      <c r="K715" s="5"/>
    </row>
    <row r="716" spans="1:11" x14ac:dyDescent="0.35">
      <c r="A716" s="4"/>
      <c r="B716" s="5"/>
      <c r="C716" s="5"/>
      <c r="D716" s="5"/>
      <c r="E716" s="5"/>
      <c r="F716" s="5"/>
      <c r="G716" s="5"/>
      <c r="H716" s="5"/>
      <c r="I716" s="5"/>
      <c r="J716" s="5"/>
      <c r="K716" s="5"/>
    </row>
    <row r="717" spans="1:11" x14ac:dyDescent="0.35">
      <c r="A717" s="4"/>
      <c r="B717" s="5"/>
      <c r="C717" s="5"/>
      <c r="D717" s="5"/>
      <c r="E717" s="5"/>
      <c r="F717" s="5"/>
      <c r="G717" s="5"/>
      <c r="H717" s="5"/>
      <c r="I717" s="5"/>
      <c r="J717" s="5"/>
      <c r="K717" s="5"/>
    </row>
    <row r="718" spans="1:11" x14ac:dyDescent="0.35">
      <c r="A718" s="4"/>
      <c r="B718" s="5"/>
      <c r="C718" s="5"/>
      <c r="D718" s="5"/>
      <c r="E718" s="5"/>
      <c r="F718" s="5"/>
      <c r="G718" s="5"/>
      <c r="H718" s="5"/>
      <c r="I718" s="5"/>
      <c r="J718" s="5"/>
      <c r="K718" s="5"/>
    </row>
    <row r="719" spans="1:11" x14ac:dyDescent="0.35">
      <c r="A719" s="4"/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 spans="1:11" x14ac:dyDescent="0.35">
      <c r="A720" s="4"/>
      <c r="B720" s="5"/>
      <c r="C720" s="5"/>
      <c r="D720" s="5"/>
      <c r="E720" s="5"/>
      <c r="F720" s="5"/>
      <c r="G720" s="5"/>
      <c r="H720" s="5"/>
      <c r="I720" s="5"/>
      <c r="J720" s="5"/>
      <c r="K720" s="5"/>
    </row>
    <row r="721" spans="1:11" x14ac:dyDescent="0.35">
      <c r="A721" s="4"/>
      <c r="B721" s="5"/>
      <c r="C721" s="5"/>
      <c r="D721" s="5"/>
      <c r="E721" s="5"/>
      <c r="F721" s="5"/>
      <c r="G721" s="5"/>
      <c r="H721" s="5"/>
      <c r="I721" s="5"/>
      <c r="J721" s="5"/>
      <c r="K721" s="5"/>
    </row>
    <row r="722" spans="1:11" x14ac:dyDescent="0.35">
      <c r="A722" s="4"/>
      <c r="B722" s="5"/>
      <c r="C722" s="5"/>
      <c r="D722" s="5"/>
      <c r="E722" s="5"/>
      <c r="F722" s="5"/>
      <c r="G722" s="5"/>
      <c r="H722" s="5"/>
      <c r="I722" s="5"/>
      <c r="J722" s="5"/>
      <c r="K722" s="5"/>
    </row>
    <row r="723" spans="1:11" x14ac:dyDescent="0.35">
      <c r="A723" s="4"/>
      <c r="B723" s="5"/>
      <c r="C723" s="5"/>
      <c r="D723" s="5"/>
      <c r="E723" s="5"/>
      <c r="F723" s="5"/>
      <c r="G723" s="5"/>
      <c r="H723" s="5"/>
      <c r="I723" s="5"/>
      <c r="J723" s="5"/>
      <c r="K723" s="5"/>
    </row>
    <row r="724" spans="1:11" x14ac:dyDescent="0.35">
      <c r="A724" s="4"/>
      <c r="B724" s="5"/>
      <c r="C724" s="5"/>
      <c r="D724" s="5"/>
      <c r="E724" s="5"/>
      <c r="F724" s="5"/>
      <c r="G724" s="5"/>
      <c r="H724" s="5"/>
      <c r="I724" s="5"/>
      <c r="J724" s="5"/>
      <c r="K724" s="5"/>
    </row>
    <row r="725" spans="1:11" x14ac:dyDescent="0.35">
      <c r="A725" s="4"/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 spans="1:11" x14ac:dyDescent="0.35">
      <c r="A726" s="4"/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 spans="1:11" x14ac:dyDescent="0.35">
      <c r="A727" s="4"/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 spans="1:11" x14ac:dyDescent="0.35">
      <c r="A728" s="4"/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 spans="1:11" x14ac:dyDescent="0.35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 spans="1:11" x14ac:dyDescent="0.35">
      <c r="A730" s="4"/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 spans="1:11" x14ac:dyDescent="0.35">
      <c r="A731" s="4"/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 spans="1:11" x14ac:dyDescent="0.35">
      <c r="A732" s="4"/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 spans="1:11" x14ac:dyDescent="0.35">
      <c r="A733" s="4"/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 spans="1:11" x14ac:dyDescent="0.35">
      <c r="A734" s="4"/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 spans="1:11" x14ac:dyDescent="0.35">
      <c r="A735" s="4"/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 spans="1:11" x14ac:dyDescent="0.35">
      <c r="A736" s="4"/>
      <c r="B736" s="5"/>
      <c r="C736" s="5"/>
      <c r="D736" s="5"/>
      <c r="E736" s="5"/>
      <c r="F736" s="5"/>
      <c r="G736" s="5"/>
      <c r="H736" s="5"/>
      <c r="I736" s="5"/>
      <c r="J736" s="5"/>
      <c r="K736" s="5"/>
    </row>
    <row r="737" spans="1:11" x14ac:dyDescent="0.35">
      <c r="A737" s="4"/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 spans="1:11" x14ac:dyDescent="0.35">
      <c r="A738" s="4"/>
      <c r="B738" s="5"/>
      <c r="C738" s="5"/>
      <c r="D738" s="5"/>
      <c r="E738" s="5"/>
      <c r="F738" s="5"/>
      <c r="G738" s="5"/>
      <c r="H738" s="5"/>
      <c r="I738" s="5"/>
      <c r="J738" s="5"/>
      <c r="K738" s="5"/>
    </row>
    <row r="739" spans="1:11" x14ac:dyDescent="0.35">
      <c r="A739" s="4"/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 spans="1:11" x14ac:dyDescent="0.35">
      <c r="A740" s="4"/>
      <c r="B740" s="5"/>
      <c r="C740" s="5"/>
      <c r="D740" s="5"/>
      <c r="E740" s="5"/>
      <c r="F740" s="5"/>
      <c r="G740" s="5"/>
      <c r="H740" s="5"/>
      <c r="I740" s="5"/>
      <c r="J740" s="5"/>
      <c r="K740" s="5"/>
    </row>
    <row r="741" spans="1:11" x14ac:dyDescent="0.35">
      <c r="A741" s="4"/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 spans="1:11" x14ac:dyDescent="0.35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 spans="1:11" x14ac:dyDescent="0.35">
      <c r="A743" s="4"/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 spans="1:11" x14ac:dyDescent="0.35">
      <c r="A744" s="4"/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 spans="1:11" x14ac:dyDescent="0.35">
      <c r="A745" s="4"/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 spans="1:11" x14ac:dyDescent="0.35">
      <c r="A746" s="4"/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 spans="1:11" x14ac:dyDescent="0.35">
      <c r="A747" s="4"/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 spans="1:11" x14ac:dyDescent="0.35">
      <c r="A748" s="4"/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 spans="1:11" x14ac:dyDescent="0.35">
      <c r="A749" s="4"/>
      <c r="B749" s="5"/>
      <c r="C749" s="5"/>
      <c r="D749" s="5"/>
      <c r="E749" s="5"/>
      <c r="F749" s="5"/>
      <c r="G749" s="5"/>
      <c r="H749" s="5"/>
      <c r="I749" s="5"/>
      <c r="J749" s="5"/>
      <c r="K749" s="5"/>
    </row>
    <row r="750" spans="1:11" x14ac:dyDescent="0.35">
      <c r="A750" s="4"/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 spans="1:11" x14ac:dyDescent="0.35">
      <c r="A751" s="4"/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 spans="1:11" x14ac:dyDescent="0.35">
      <c r="A752" s="4"/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 spans="1:11" x14ac:dyDescent="0.35">
      <c r="A753" s="4"/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 spans="1:11" x14ac:dyDescent="0.35">
      <c r="A754" s="4"/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 spans="1:11" x14ac:dyDescent="0.35">
      <c r="A755" s="4"/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 spans="1:11" x14ac:dyDescent="0.35">
      <c r="A756" s="4"/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 spans="1:11" x14ac:dyDescent="0.35">
      <c r="A757" s="4"/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 spans="1:11" x14ac:dyDescent="0.35">
      <c r="A758" s="4"/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 spans="1:11" x14ac:dyDescent="0.35">
      <c r="A759" s="4"/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 spans="1:11" x14ac:dyDescent="0.35">
      <c r="A760" s="4"/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 spans="1:11" x14ac:dyDescent="0.35">
      <c r="A761" s="4"/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 spans="1:11" x14ac:dyDescent="0.35">
      <c r="A762" s="4"/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 spans="1:11" x14ac:dyDescent="0.35">
      <c r="A763" s="4"/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 spans="1:11" x14ac:dyDescent="0.35">
      <c r="A764" s="4"/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 spans="1:11" x14ac:dyDescent="0.35">
      <c r="A765" s="4"/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 spans="1:11" x14ac:dyDescent="0.35">
      <c r="A766" s="4"/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 spans="1:11" x14ac:dyDescent="0.35">
      <c r="A767" s="4"/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 spans="1:11" x14ac:dyDescent="0.35">
      <c r="A768" s="4"/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 spans="1:11" x14ac:dyDescent="0.35">
      <c r="A769" s="4"/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 spans="1:11" x14ac:dyDescent="0.35">
      <c r="A770" s="4"/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 spans="1:11" x14ac:dyDescent="0.35">
      <c r="A771" s="4"/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 spans="1:11" x14ac:dyDescent="0.35">
      <c r="A772" s="4"/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 spans="1:11" x14ac:dyDescent="0.35">
      <c r="A773" s="4"/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 spans="1:11" x14ac:dyDescent="0.35">
      <c r="A774" s="4"/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 spans="1:11" x14ac:dyDescent="0.35">
      <c r="A775" s="4"/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 spans="1:11" x14ac:dyDescent="0.35">
      <c r="A776" s="4"/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 spans="1:11" x14ac:dyDescent="0.35">
      <c r="A777" s="4"/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 spans="1:11" x14ac:dyDescent="0.35">
      <c r="A778" s="4"/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 spans="1:11" x14ac:dyDescent="0.35">
      <c r="A779" s="4"/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 spans="1:11" x14ac:dyDescent="0.35">
      <c r="A780" s="4"/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 spans="1:11" x14ac:dyDescent="0.35">
      <c r="A781" s="4"/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 spans="1:11" x14ac:dyDescent="0.35">
      <c r="A782" s="4"/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 spans="1:11" x14ac:dyDescent="0.35">
      <c r="A783" s="4"/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 spans="1:11" x14ac:dyDescent="0.35">
      <c r="A784" s="4"/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 spans="1:11" x14ac:dyDescent="0.35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 spans="1:11" x14ac:dyDescent="0.35">
      <c r="A786" s="4"/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 spans="1:11" x14ac:dyDescent="0.35">
      <c r="A787" s="4"/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 spans="1:11" x14ac:dyDescent="0.35">
      <c r="A788" s="4"/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 spans="1:11" x14ac:dyDescent="0.35">
      <c r="A789" s="4"/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 spans="1:11" x14ac:dyDescent="0.35">
      <c r="A790" s="4"/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 spans="1:11" x14ac:dyDescent="0.35">
      <c r="A791" s="4"/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 spans="1:11" x14ac:dyDescent="0.35">
      <c r="A792" s="4"/>
      <c r="B792" s="5"/>
      <c r="C792" s="5"/>
      <c r="D792" s="5"/>
      <c r="E792" s="5"/>
      <c r="F792" s="5"/>
      <c r="G792" s="5"/>
      <c r="H792" s="5"/>
      <c r="I792" s="5"/>
      <c r="J792" s="5"/>
      <c r="K792" s="5"/>
    </row>
  </sheetData>
  <autoFilter ref="A1:K104" xr:uid="{00000000-0001-0000-0000-000000000000}">
    <sortState xmlns:xlrd2="http://schemas.microsoft.com/office/spreadsheetml/2017/richdata2" ref="A2:K104">
      <sortCondition descending="1" ref="K1:K10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34DA4-C6EA-4593-B988-6F5C81F56E45}">
  <dimension ref="A1:L104"/>
  <sheetViews>
    <sheetView tabSelected="1" topLeftCell="A2" workbookViewId="0">
      <selection activeCell="K2" sqref="K2"/>
    </sheetView>
  </sheetViews>
  <sheetFormatPr defaultRowHeight="14.5" x14ac:dyDescent="0.35"/>
  <cols>
    <col min="1" max="1" width="21.1796875" bestFit="1" customWidth="1"/>
    <col min="8" max="8" width="35.1796875" bestFit="1" customWidth="1"/>
    <col min="9" max="9" width="35.81640625" bestFit="1" customWidth="1"/>
  </cols>
  <sheetData>
    <row r="1" spans="1:12" x14ac:dyDescent="0.35">
      <c r="A1" s="2" t="s">
        <v>107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 t="s">
        <v>0</v>
      </c>
      <c r="I1" s="2" t="s">
        <v>1</v>
      </c>
      <c r="J1" s="2" t="s">
        <v>105</v>
      </c>
      <c r="K1" s="2" t="s">
        <v>106</v>
      </c>
      <c r="L1" s="2" t="s">
        <v>109</v>
      </c>
    </row>
    <row r="2" spans="1:12" x14ac:dyDescent="0.35">
      <c r="A2" s="2" t="s">
        <v>12</v>
      </c>
      <c r="B2" s="2">
        <v>1.59</v>
      </c>
      <c r="C2" s="2">
        <v>8.3800000000000008</v>
      </c>
      <c r="D2" s="2">
        <v>33.08</v>
      </c>
      <c r="E2" s="2">
        <v>1.69</v>
      </c>
      <c r="F2" s="2">
        <v>1.64</v>
      </c>
      <c r="G2" s="2">
        <v>3.79</v>
      </c>
      <c r="H2" s="2">
        <v>34.21</v>
      </c>
      <c r="I2" s="2">
        <v>4.83</v>
      </c>
      <c r="J2" s="2">
        <v>29.380000000000003</v>
      </c>
      <c r="K2" s="2" t="s">
        <v>110</v>
      </c>
      <c r="L2" s="2">
        <v>0.84630000000000005</v>
      </c>
    </row>
    <row r="3" spans="1:12" x14ac:dyDescent="0.35">
      <c r="A3" s="2" t="s">
        <v>41</v>
      </c>
      <c r="B3" s="2">
        <v>1.66</v>
      </c>
      <c r="C3" s="2">
        <v>8.27</v>
      </c>
      <c r="D3" s="2">
        <v>30.24</v>
      </c>
      <c r="E3" s="2">
        <v>1.1000000000000001</v>
      </c>
      <c r="F3" s="2">
        <v>1.35</v>
      </c>
      <c r="G3" s="2">
        <v>0.67</v>
      </c>
      <c r="H3" s="2">
        <v>28.92</v>
      </c>
      <c r="I3" s="2">
        <v>2.5</v>
      </c>
      <c r="J3" s="2">
        <v>26.42</v>
      </c>
      <c r="K3" s="2">
        <v>26.42</v>
      </c>
      <c r="L3" s="2">
        <v>0.88859999999999995</v>
      </c>
    </row>
    <row r="4" spans="1:12" x14ac:dyDescent="0.35">
      <c r="A4" s="2" t="s">
        <v>74</v>
      </c>
      <c r="B4" s="2">
        <v>1.44</v>
      </c>
      <c r="C4" s="2">
        <v>6.15</v>
      </c>
      <c r="D4" s="2">
        <v>10.73</v>
      </c>
      <c r="E4" s="2">
        <v>0.22</v>
      </c>
      <c r="F4" s="2">
        <v>1.43</v>
      </c>
      <c r="G4" s="2">
        <v>0</v>
      </c>
      <c r="H4" s="2">
        <v>24.01</v>
      </c>
      <c r="I4" s="2">
        <v>0</v>
      </c>
      <c r="J4" s="2">
        <v>24.01</v>
      </c>
      <c r="K4" s="2">
        <v>24.01</v>
      </c>
      <c r="L4" s="2">
        <v>0</v>
      </c>
    </row>
    <row r="5" spans="1:12" x14ac:dyDescent="0.35">
      <c r="A5" s="2" t="s">
        <v>60</v>
      </c>
      <c r="B5" s="2">
        <v>0.68</v>
      </c>
      <c r="C5" s="2">
        <v>7.86</v>
      </c>
      <c r="D5" s="2">
        <v>15</v>
      </c>
      <c r="E5" s="2">
        <v>1.56</v>
      </c>
      <c r="F5" s="2">
        <v>1.47</v>
      </c>
      <c r="G5" s="2">
        <v>1.94</v>
      </c>
      <c r="H5" s="2">
        <v>22.61</v>
      </c>
      <c r="I5" s="2">
        <v>2.2799999999999998</v>
      </c>
      <c r="J5" s="2">
        <v>20.329999999999998</v>
      </c>
      <c r="K5" s="2">
        <v>20.329999999999998</v>
      </c>
      <c r="L5" s="2">
        <v>0.92459999999999998</v>
      </c>
    </row>
    <row r="6" spans="1:12" x14ac:dyDescent="0.35">
      <c r="A6" s="2" t="s">
        <v>56</v>
      </c>
      <c r="B6" s="2">
        <v>1.19</v>
      </c>
      <c r="C6" s="2">
        <v>8.8800000000000008</v>
      </c>
      <c r="D6" s="2">
        <v>14.9</v>
      </c>
      <c r="E6" s="2">
        <v>1.43</v>
      </c>
      <c r="F6" s="2">
        <v>4.96</v>
      </c>
      <c r="G6" s="2">
        <v>1.98</v>
      </c>
      <c r="H6" s="2">
        <v>23.69</v>
      </c>
      <c r="I6" s="2">
        <v>3.46</v>
      </c>
      <c r="J6" s="2">
        <v>20.23</v>
      </c>
      <c r="K6" s="2">
        <v>20.23</v>
      </c>
      <c r="L6" s="2">
        <v>0.71730000000000005</v>
      </c>
    </row>
    <row r="7" spans="1:12" x14ac:dyDescent="0.35">
      <c r="A7" s="2" t="s">
        <v>68</v>
      </c>
      <c r="B7" s="2">
        <v>1.19</v>
      </c>
      <c r="C7" s="2">
        <v>8.8800000000000008</v>
      </c>
      <c r="D7" s="2">
        <v>14.9</v>
      </c>
      <c r="E7" s="2">
        <v>1.43</v>
      </c>
      <c r="F7" s="2">
        <v>4.96</v>
      </c>
      <c r="G7" s="2">
        <v>5.87</v>
      </c>
      <c r="H7" s="2">
        <v>23.69</v>
      </c>
      <c r="I7" s="2">
        <v>3.46</v>
      </c>
      <c r="J7" s="2">
        <v>20.23</v>
      </c>
      <c r="K7" s="2">
        <v>20.23</v>
      </c>
      <c r="L7" s="2">
        <v>0.71730000000000005</v>
      </c>
    </row>
    <row r="8" spans="1:12" x14ac:dyDescent="0.35">
      <c r="A8" s="2" t="s">
        <v>83</v>
      </c>
      <c r="B8" s="2">
        <v>17.100000000000001</v>
      </c>
      <c r="C8" s="2">
        <v>9.83</v>
      </c>
      <c r="D8" s="2">
        <v>12.29</v>
      </c>
      <c r="E8" s="2">
        <v>5.09</v>
      </c>
      <c r="F8" s="2">
        <v>1.61</v>
      </c>
      <c r="G8" s="2">
        <v>2.77</v>
      </c>
      <c r="H8" s="2">
        <v>23.37</v>
      </c>
      <c r="I8" s="2">
        <v>3.15</v>
      </c>
      <c r="J8" s="2">
        <v>20.220000000000002</v>
      </c>
      <c r="K8" s="2">
        <v>20.220000000000002</v>
      </c>
      <c r="L8" s="2">
        <v>0.87519999999999998</v>
      </c>
    </row>
    <row r="9" spans="1:12" x14ac:dyDescent="0.35">
      <c r="A9" s="2" t="s">
        <v>38</v>
      </c>
      <c r="B9" s="2">
        <v>0</v>
      </c>
      <c r="C9" s="2">
        <v>11.89</v>
      </c>
      <c r="D9" s="2">
        <v>10.38</v>
      </c>
      <c r="E9" s="2">
        <v>2.67</v>
      </c>
      <c r="F9" s="2">
        <v>1.19</v>
      </c>
      <c r="G9" s="2">
        <v>0.87</v>
      </c>
      <c r="H9" s="2">
        <v>19.739999999999998</v>
      </c>
      <c r="I9" s="2">
        <v>0.87</v>
      </c>
      <c r="J9" s="2">
        <v>18.869999999999997</v>
      </c>
      <c r="K9" s="2">
        <v>18.869999999999997</v>
      </c>
      <c r="L9" s="2">
        <v>0.83879999999999999</v>
      </c>
    </row>
    <row r="10" spans="1:12" x14ac:dyDescent="0.35">
      <c r="A10" s="2" t="s">
        <v>35</v>
      </c>
      <c r="B10" s="2">
        <v>1.43</v>
      </c>
      <c r="C10" s="2">
        <v>7.33</v>
      </c>
      <c r="D10" s="2">
        <v>18.190000000000001</v>
      </c>
      <c r="E10" s="2">
        <v>0.82</v>
      </c>
      <c r="F10" s="2">
        <v>0.9</v>
      </c>
      <c r="G10" s="2">
        <v>2.21</v>
      </c>
      <c r="H10" s="2">
        <v>21.43</v>
      </c>
      <c r="I10" s="2">
        <v>3.13</v>
      </c>
      <c r="J10" s="2">
        <v>18.3</v>
      </c>
      <c r="K10" s="2">
        <v>18.3</v>
      </c>
      <c r="L10" s="2">
        <v>0.82230000000000003</v>
      </c>
    </row>
    <row r="11" spans="1:12" x14ac:dyDescent="0.35">
      <c r="A11" s="2" t="s">
        <v>100</v>
      </c>
      <c r="B11" s="2">
        <v>3.12</v>
      </c>
      <c r="C11" s="2">
        <v>3.74</v>
      </c>
      <c r="D11" s="2">
        <v>9.39</v>
      </c>
      <c r="E11" s="2">
        <v>2.0299999999999998</v>
      </c>
      <c r="F11" s="2">
        <v>0.95</v>
      </c>
      <c r="G11" s="2">
        <v>1.42</v>
      </c>
      <c r="H11" s="2">
        <v>20.03</v>
      </c>
      <c r="I11" s="2">
        <v>1.98</v>
      </c>
      <c r="J11" s="2">
        <v>18.05</v>
      </c>
      <c r="K11" s="2">
        <v>18.05</v>
      </c>
      <c r="L11" s="2">
        <v>0.93579999999999997</v>
      </c>
    </row>
    <row r="12" spans="1:12" x14ac:dyDescent="0.35">
      <c r="A12" s="2" t="s">
        <v>30</v>
      </c>
      <c r="B12" s="2">
        <v>5.52</v>
      </c>
      <c r="C12" s="2">
        <v>13.75</v>
      </c>
      <c r="D12" s="2">
        <v>12.67</v>
      </c>
      <c r="E12" s="2">
        <v>4.0599999999999996</v>
      </c>
      <c r="F12" s="2">
        <v>2.99</v>
      </c>
      <c r="G12" s="2">
        <v>1.17</v>
      </c>
      <c r="H12" s="2">
        <v>20.66</v>
      </c>
      <c r="I12" s="2">
        <v>3.44</v>
      </c>
      <c r="J12" s="2">
        <v>17.22</v>
      </c>
      <c r="K12" s="2">
        <v>17.22</v>
      </c>
      <c r="L12" s="2">
        <v>0.92830000000000001</v>
      </c>
    </row>
    <row r="13" spans="1:12" x14ac:dyDescent="0.35">
      <c r="A13" s="2" t="s">
        <v>58</v>
      </c>
      <c r="B13" s="2">
        <v>1.73</v>
      </c>
      <c r="C13" s="2">
        <v>7.33</v>
      </c>
      <c r="D13" s="2">
        <v>9.3800000000000008</v>
      </c>
      <c r="E13" s="2">
        <v>1.06</v>
      </c>
      <c r="F13" s="2">
        <v>1.5</v>
      </c>
      <c r="G13" s="2">
        <v>2.4700000000000002</v>
      </c>
      <c r="H13" s="2">
        <v>18.2</v>
      </c>
      <c r="I13" s="2">
        <v>1.69</v>
      </c>
      <c r="J13" s="2">
        <v>16.509999999999998</v>
      </c>
      <c r="K13" s="2">
        <v>16.509999999999998</v>
      </c>
      <c r="L13" s="2">
        <v>0.90490000000000004</v>
      </c>
    </row>
    <row r="14" spans="1:12" x14ac:dyDescent="0.35">
      <c r="A14" s="2" t="s">
        <v>5</v>
      </c>
      <c r="B14" s="2">
        <v>0.21</v>
      </c>
      <c r="C14" s="2">
        <v>0.67</v>
      </c>
      <c r="D14" s="2">
        <v>0.93</v>
      </c>
      <c r="E14" s="2">
        <v>7.0000000000000007E-2</v>
      </c>
      <c r="F14" s="2">
        <v>0.35</v>
      </c>
      <c r="G14" s="2">
        <v>15.66</v>
      </c>
      <c r="H14" s="2">
        <v>1.06</v>
      </c>
      <c r="I14" s="2">
        <v>17.21</v>
      </c>
      <c r="J14" s="2">
        <v>-16.150000000000002</v>
      </c>
      <c r="K14" s="2">
        <v>16.150000000000002</v>
      </c>
      <c r="L14" s="2">
        <v>-0.20039999999999999</v>
      </c>
    </row>
    <row r="15" spans="1:12" x14ac:dyDescent="0.35">
      <c r="A15" s="2" t="s">
        <v>67</v>
      </c>
      <c r="B15" s="2">
        <v>2.02</v>
      </c>
      <c r="C15" s="2">
        <v>9.51</v>
      </c>
      <c r="D15" s="2">
        <v>9.75</v>
      </c>
      <c r="E15" s="2">
        <v>2.1</v>
      </c>
      <c r="F15" s="2">
        <v>1.18</v>
      </c>
      <c r="G15" s="2">
        <v>1.53</v>
      </c>
      <c r="H15" s="2">
        <v>18.5</v>
      </c>
      <c r="I15" s="2">
        <v>2.4300000000000002</v>
      </c>
      <c r="J15" s="2">
        <v>16.07</v>
      </c>
      <c r="K15" s="2">
        <v>16.07</v>
      </c>
      <c r="L15" s="2">
        <v>0.91810000000000003</v>
      </c>
    </row>
    <row r="16" spans="1:12" x14ac:dyDescent="0.35">
      <c r="A16" s="2" t="s">
        <v>101</v>
      </c>
      <c r="B16" s="2">
        <v>0.48</v>
      </c>
      <c r="C16" s="2">
        <v>9.2100000000000009</v>
      </c>
      <c r="D16" s="2">
        <v>12.66</v>
      </c>
      <c r="E16" s="2">
        <v>1.75</v>
      </c>
      <c r="F16" s="2">
        <v>0.75</v>
      </c>
      <c r="G16" s="2">
        <v>2.6</v>
      </c>
      <c r="H16" s="2">
        <v>19.39</v>
      </c>
      <c r="I16" s="2">
        <v>3.47</v>
      </c>
      <c r="J16" s="2">
        <v>15.92</v>
      </c>
      <c r="K16" s="2">
        <v>15.92</v>
      </c>
      <c r="L16" s="2">
        <v>0.92830000000000001</v>
      </c>
    </row>
    <row r="17" spans="1:12" x14ac:dyDescent="0.35">
      <c r="A17" s="2" t="s">
        <v>96</v>
      </c>
      <c r="B17" s="2">
        <v>2.15</v>
      </c>
      <c r="C17" s="2">
        <v>8.44</v>
      </c>
      <c r="D17" s="2">
        <v>7.74</v>
      </c>
      <c r="E17" s="2">
        <v>1.1000000000000001</v>
      </c>
      <c r="F17" s="2">
        <v>2.2200000000000002</v>
      </c>
      <c r="G17" s="2">
        <v>0.63</v>
      </c>
      <c r="H17" s="2">
        <v>17.579999999999998</v>
      </c>
      <c r="I17" s="2">
        <v>1.8</v>
      </c>
      <c r="J17" s="2">
        <v>15.779999999999998</v>
      </c>
      <c r="K17" s="2">
        <v>15.779999999999998</v>
      </c>
      <c r="L17" s="2">
        <v>0.91469999999999996</v>
      </c>
    </row>
    <row r="18" spans="1:12" x14ac:dyDescent="0.35">
      <c r="A18" s="2" t="s">
        <v>77</v>
      </c>
      <c r="B18" s="2">
        <v>5.66</v>
      </c>
      <c r="C18" s="2">
        <v>6.7</v>
      </c>
      <c r="D18" s="2">
        <v>16.350000000000001</v>
      </c>
      <c r="E18" s="2">
        <v>2.59</v>
      </c>
      <c r="F18" s="2">
        <v>2.58</v>
      </c>
      <c r="G18" s="2">
        <v>0.94</v>
      </c>
      <c r="H18" s="2">
        <v>19.18</v>
      </c>
      <c r="I18" s="2">
        <v>3.56</v>
      </c>
      <c r="J18" s="2">
        <v>15.62</v>
      </c>
      <c r="K18" s="2">
        <v>15.62</v>
      </c>
      <c r="L18" s="2" t="e">
        <v>#N/A</v>
      </c>
    </row>
    <row r="19" spans="1:12" x14ac:dyDescent="0.35">
      <c r="A19" s="2" t="s">
        <v>78</v>
      </c>
      <c r="B19" s="2">
        <v>1.91</v>
      </c>
      <c r="C19" s="2">
        <v>8</v>
      </c>
      <c r="D19" s="2">
        <v>8.6999999999999993</v>
      </c>
      <c r="E19" s="2">
        <v>3.87</v>
      </c>
      <c r="F19" s="2">
        <v>1.75</v>
      </c>
      <c r="G19" s="2">
        <v>0.64</v>
      </c>
      <c r="H19" s="2">
        <v>17.190000000000001</v>
      </c>
      <c r="I19" s="2">
        <v>1.66</v>
      </c>
      <c r="J19" s="2">
        <v>15.530000000000001</v>
      </c>
      <c r="K19" s="2">
        <v>15.530000000000001</v>
      </c>
      <c r="L19" s="2">
        <v>0.82569999999999999</v>
      </c>
    </row>
    <row r="20" spans="1:12" x14ac:dyDescent="0.35">
      <c r="A20" s="2" t="s">
        <v>52</v>
      </c>
      <c r="B20" s="2">
        <v>2.02</v>
      </c>
      <c r="C20" s="2">
        <v>9.69</v>
      </c>
      <c r="D20" s="2">
        <v>6.55</v>
      </c>
      <c r="E20" s="2">
        <v>4.18</v>
      </c>
      <c r="F20" s="2">
        <v>2.76</v>
      </c>
      <c r="G20" s="2">
        <v>1.1200000000000001</v>
      </c>
      <c r="H20" s="2">
        <v>18.39</v>
      </c>
      <c r="I20" s="2">
        <v>2.87</v>
      </c>
      <c r="J20" s="2">
        <v>15.52</v>
      </c>
      <c r="K20" s="2">
        <v>15.52</v>
      </c>
      <c r="L20" s="2">
        <v>0.91379999999999995</v>
      </c>
    </row>
    <row r="21" spans="1:12" x14ac:dyDescent="0.35">
      <c r="A21" s="2" t="s">
        <v>87</v>
      </c>
      <c r="B21" s="2">
        <v>0</v>
      </c>
      <c r="C21" s="2">
        <v>9.34</v>
      </c>
      <c r="D21" s="2">
        <v>13.37</v>
      </c>
      <c r="E21" s="2">
        <v>3.56</v>
      </c>
      <c r="F21" s="2">
        <v>2.86</v>
      </c>
      <c r="G21" s="2">
        <v>5.28</v>
      </c>
      <c r="H21" s="2">
        <v>19.52</v>
      </c>
      <c r="I21" s="2">
        <v>4.13</v>
      </c>
      <c r="J21" s="2">
        <v>15.39</v>
      </c>
      <c r="K21" s="2">
        <v>15.39</v>
      </c>
      <c r="L21" s="2">
        <v>0.84089999999999998</v>
      </c>
    </row>
    <row r="22" spans="1:12" x14ac:dyDescent="0.35">
      <c r="A22" s="2" t="s">
        <v>50</v>
      </c>
      <c r="B22" s="2">
        <v>2.73</v>
      </c>
      <c r="C22" s="2">
        <v>13.44</v>
      </c>
      <c r="D22" s="2">
        <v>12.18</v>
      </c>
      <c r="E22" s="2">
        <v>1.24</v>
      </c>
      <c r="F22" s="2">
        <v>1.56</v>
      </c>
      <c r="G22" s="2">
        <v>0.34</v>
      </c>
      <c r="H22" s="2">
        <v>18.54</v>
      </c>
      <c r="I22" s="2">
        <v>3.49</v>
      </c>
      <c r="J22" s="2">
        <v>15.049999999999999</v>
      </c>
      <c r="K22" s="2">
        <v>15.049999999999999</v>
      </c>
      <c r="L22" s="2">
        <v>0.93</v>
      </c>
    </row>
    <row r="23" spans="1:12" x14ac:dyDescent="0.35">
      <c r="A23" s="2" t="s">
        <v>63</v>
      </c>
      <c r="B23" s="2">
        <v>0.32</v>
      </c>
      <c r="C23" s="2">
        <v>6.43</v>
      </c>
      <c r="D23" s="2">
        <v>14.01</v>
      </c>
      <c r="E23" s="2">
        <v>4.28</v>
      </c>
      <c r="F23" s="2">
        <v>1.7</v>
      </c>
      <c r="G23" s="2">
        <v>2.75</v>
      </c>
      <c r="H23" s="2">
        <v>17.510000000000002</v>
      </c>
      <c r="I23" s="2">
        <v>2.64</v>
      </c>
      <c r="J23" s="2">
        <v>14.870000000000001</v>
      </c>
      <c r="K23" s="2">
        <v>14.870000000000001</v>
      </c>
      <c r="L23" s="2">
        <v>0.90429999999999999</v>
      </c>
    </row>
    <row r="24" spans="1:12" x14ac:dyDescent="0.35">
      <c r="A24" s="2" t="s">
        <v>43</v>
      </c>
      <c r="B24" s="2">
        <v>0.21</v>
      </c>
      <c r="C24" s="2">
        <v>8.0500000000000007</v>
      </c>
      <c r="D24" s="2">
        <v>13.64</v>
      </c>
      <c r="E24" s="2">
        <v>1.48</v>
      </c>
      <c r="F24" s="2">
        <v>1.88</v>
      </c>
      <c r="G24" s="2">
        <v>1.28</v>
      </c>
      <c r="H24" s="2">
        <v>17.37</v>
      </c>
      <c r="I24" s="2">
        <v>2.79</v>
      </c>
      <c r="J24" s="2">
        <v>14.580000000000002</v>
      </c>
      <c r="K24" s="2">
        <v>14.580000000000002</v>
      </c>
      <c r="L24" s="2" t="e">
        <v>#N/A</v>
      </c>
    </row>
    <row r="25" spans="1:12" x14ac:dyDescent="0.35">
      <c r="A25" s="2" t="s">
        <v>70</v>
      </c>
      <c r="B25" s="2">
        <v>5.32</v>
      </c>
      <c r="C25" s="2">
        <v>11.45</v>
      </c>
      <c r="D25" s="2">
        <v>8.81</v>
      </c>
      <c r="E25" s="2">
        <v>1.58</v>
      </c>
      <c r="F25" s="2">
        <v>3.72</v>
      </c>
      <c r="G25" s="2">
        <v>3.13</v>
      </c>
      <c r="H25" s="2">
        <v>18.510000000000002</v>
      </c>
      <c r="I25" s="2">
        <v>4.01</v>
      </c>
      <c r="J25" s="2">
        <v>14.500000000000002</v>
      </c>
      <c r="K25" s="2">
        <v>14.500000000000002</v>
      </c>
      <c r="L25" s="2">
        <v>0.9214</v>
      </c>
    </row>
    <row r="26" spans="1:12" x14ac:dyDescent="0.35">
      <c r="A26" s="2" t="s">
        <v>103</v>
      </c>
      <c r="B26" s="2">
        <v>5.32</v>
      </c>
      <c r="C26" s="2">
        <v>11.45</v>
      </c>
      <c r="D26" s="2">
        <v>8.81</v>
      </c>
      <c r="E26" s="2">
        <v>1.58</v>
      </c>
      <c r="F26" s="2">
        <v>3.72</v>
      </c>
      <c r="G26" s="2">
        <v>2.79</v>
      </c>
      <c r="H26" s="2">
        <v>18.510000000000002</v>
      </c>
      <c r="I26" s="2">
        <v>4.01</v>
      </c>
      <c r="J26" s="2">
        <v>14.500000000000002</v>
      </c>
      <c r="K26" s="2">
        <v>14.500000000000002</v>
      </c>
      <c r="L26" s="2">
        <v>0.9214</v>
      </c>
    </row>
    <row r="27" spans="1:12" x14ac:dyDescent="0.35">
      <c r="A27" s="2" t="s">
        <v>54</v>
      </c>
      <c r="B27" s="2">
        <v>2.1</v>
      </c>
      <c r="C27" s="2">
        <v>9.9700000000000006</v>
      </c>
      <c r="D27" s="2">
        <v>17.22</v>
      </c>
      <c r="E27" s="2">
        <v>3.07</v>
      </c>
      <c r="F27" s="2">
        <v>4.55</v>
      </c>
      <c r="G27" s="2">
        <v>1.31</v>
      </c>
      <c r="H27" s="2">
        <v>18.559999999999999</v>
      </c>
      <c r="I27" s="2">
        <v>4.25</v>
      </c>
      <c r="J27" s="2">
        <v>14.309999999999999</v>
      </c>
      <c r="K27" s="2">
        <v>14.309999999999999</v>
      </c>
      <c r="L27" s="2">
        <v>0.90690000000000004</v>
      </c>
    </row>
    <row r="28" spans="1:12" x14ac:dyDescent="0.35">
      <c r="A28" s="2" t="s">
        <v>66</v>
      </c>
      <c r="B28" s="2">
        <v>3.66</v>
      </c>
      <c r="C28" s="2">
        <v>9.5399999999999991</v>
      </c>
      <c r="D28" s="2">
        <v>10.09</v>
      </c>
      <c r="E28" s="2">
        <v>0.62</v>
      </c>
      <c r="F28" s="2">
        <v>2.0499999999999998</v>
      </c>
      <c r="G28" s="2">
        <v>0</v>
      </c>
      <c r="H28" s="2">
        <v>15.96</v>
      </c>
      <c r="I28" s="2">
        <v>1.74</v>
      </c>
      <c r="J28" s="2">
        <v>14.22</v>
      </c>
      <c r="K28" s="2">
        <v>14.22</v>
      </c>
      <c r="L28" s="2">
        <v>0.495</v>
      </c>
    </row>
    <row r="29" spans="1:12" x14ac:dyDescent="0.35">
      <c r="A29" s="2" t="s">
        <v>69</v>
      </c>
      <c r="B29" s="2">
        <v>1.77</v>
      </c>
      <c r="C29" s="2">
        <v>10.02</v>
      </c>
      <c r="D29" s="2">
        <v>14.57</v>
      </c>
      <c r="E29" s="2">
        <v>1.96</v>
      </c>
      <c r="F29" s="2">
        <v>2.71</v>
      </c>
      <c r="G29" s="2">
        <v>2.2599999999999998</v>
      </c>
      <c r="H29" s="2">
        <v>17.43</v>
      </c>
      <c r="I29" s="2">
        <v>3.22</v>
      </c>
      <c r="J29" s="2">
        <v>14.209999999999999</v>
      </c>
      <c r="K29" s="2">
        <v>14.209999999999999</v>
      </c>
      <c r="L29" s="2">
        <v>0.88449999999999995</v>
      </c>
    </row>
    <row r="30" spans="1:12" x14ac:dyDescent="0.35">
      <c r="A30" s="2" t="s">
        <v>42</v>
      </c>
      <c r="B30" s="2">
        <v>4.5</v>
      </c>
      <c r="C30" s="2">
        <v>6.41</v>
      </c>
      <c r="D30" s="2">
        <v>12.07</v>
      </c>
      <c r="E30" s="2">
        <v>3.13</v>
      </c>
      <c r="F30" s="2">
        <v>2.75</v>
      </c>
      <c r="G30" s="2">
        <v>1.3</v>
      </c>
      <c r="H30" s="2">
        <v>16.89</v>
      </c>
      <c r="I30" s="2">
        <v>2.81</v>
      </c>
      <c r="J30" s="2">
        <v>14.08</v>
      </c>
      <c r="K30" s="2">
        <v>14.08</v>
      </c>
      <c r="L30" s="2">
        <v>0.88500000000000001</v>
      </c>
    </row>
    <row r="31" spans="1:12" x14ac:dyDescent="0.35">
      <c r="A31" s="2" t="s">
        <v>21</v>
      </c>
      <c r="B31" s="2">
        <v>4.79</v>
      </c>
      <c r="C31" s="2">
        <v>10.130000000000001</v>
      </c>
      <c r="D31" s="2">
        <v>13.67</v>
      </c>
      <c r="E31" s="2">
        <v>7.45</v>
      </c>
      <c r="F31" s="2">
        <v>3.25</v>
      </c>
      <c r="G31" s="2">
        <v>2.06</v>
      </c>
      <c r="H31" s="2">
        <v>16.28</v>
      </c>
      <c r="I31" s="2">
        <v>2.33</v>
      </c>
      <c r="J31" s="2">
        <v>13.950000000000001</v>
      </c>
      <c r="K31" s="2">
        <v>13.950000000000001</v>
      </c>
      <c r="L31" s="2">
        <v>0.87019999999999997</v>
      </c>
    </row>
    <row r="32" spans="1:12" x14ac:dyDescent="0.35">
      <c r="A32" s="2" t="s">
        <v>57</v>
      </c>
      <c r="B32" s="2">
        <v>2.37</v>
      </c>
      <c r="C32" s="2">
        <v>10.01</v>
      </c>
      <c r="D32" s="2">
        <v>8.86</v>
      </c>
      <c r="E32" s="2">
        <v>1.1499999999999999</v>
      </c>
      <c r="F32" s="2">
        <v>1.89</v>
      </c>
      <c r="G32" s="2">
        <v>1.1100000000000001</v>
      </c>
      <c r="H32" s="2">
        <v>15.74</v>
      </c>
      <c r="I32" s="2">
        <v>1.84</v>
      </c>
      <c r="J32" s="2">
        <v>13.9</v>
      </c>
      <c r="K32" s="2">
        <v>13.9</v>
      </c>
      <c r="L32" s="2">
        <v>0.84330000000000005</v>
      </c>
    </row>
    <row r="33" spans="1:12" x14ac:dyDescent="0.35">
      <c r="A33" s="2" t="s">
        <v>46</v>
      </c>
      <c r="B33" s="2">
        <v>2.6</v>
      </c>
      <c r="C33" s="2">
        <v>5.83</v>
      </c>
      <c r="D33" s="2">
        <v>14.28</v>
      </c>
      <c r="E33" s="2">
        <v>2.21</v>
      </c>
      <c r="F33" s="2">
        <v>1.36</v>
      </c>
      <c r="G33" s="2">
        <v>2.95</v>
      </c>
      <c r="H33" s="2">
        <v>15.99</v>
      </c>
      <c r="I33" s="2">
        <v>2.15</v>
      </c>
      <c r="J33" s="2">
        <v>13.84</v>
      </c>
      <c r="K33" s="2">
        <v>13.84</v>
      </c>
      <c r="L33" s="2">
        <v>0.92110000000000003</v>
      </c>
    </row>
    <row r="34" spans="1:12" x14ac:dyDescent="0.35">
      <c r="A34" s="2" t="s">
        <v>2</v>
      </c>
      <c r="B34" s="2">
        <v>2.4700000000000002</v>
      </c>
      <c r="C34" s="2">
        <v>7.18</v>
      </c>
      <c r="D34" s="2">
        <v>11.63</v>
      </c>
      <c r="E34" s="2">
        <v>2.67</v>
      </c>
      <c r="F34" s="2">
        <v>2.04</v>
      </c>
      <c r="G34" s="2">
        <v>0.5</v>
      </c>
      <c r="H34" s="2">
        <v>17.46</v>
      </c>
      <c r="I34" s="2">
        <v>3.82</v>
      </c>
      <c r="J34" s="2">
        <v>13.64</v>
      </c>
      <c r="K34" s="2">
        <v>13.64</v>
      </c>
      <c r="L34" s="2">
        <v>0.93920000000000003</v>
      </c>
    </row>
    <row r="35" spans="1:12" x14ac:dyDescent="0.35">
      <c r="A35" s="2" t="s">
        <v>27</v>
      </c>
      <c r="B35" s="2">
        <v>2.16</v>
      </c>
      <c r="C35" s="2">
        <v>9.23</v>
      </c>
      <c r="D35" s="2">
        <v>4.83</v>
      </c>
      <c r="E35" s="2">
        <v>2.83</v>
      </c>
      <c r="F35" s="2">
        <v>1.62</v>
      </c>
      <c r="G35" s="2">
        <v>1.62</v>
      </c>
      <c r="H35" s="2">
        <v>17.649999999999999</v>
      </c>
      <c r="I35" s="2">
        <v>4.0599999999999996</v>
      </c>
      <c r="J35" s="2">
        <v>13.59</v>
      </c>
      <c r="K35" s="2">
        <v>13.59</v>
      </c>
      <c r="L35" s="2">
        <v>0.9204</v>
      </c>
    </row>
    <row r="36" spans="1:12" x14ac:dyDescent="0.35">
      <c r="A36" s="2" t="s">
        <v>84</v>
      </c>
      <c r="B36" s="2">
        <v>2.29</v>
      </c>
      <c r="C36" s="2">
        <v>9.84</v>
      </c>
      <c r="D36" s="2">
        <v>12.49</v>
      </c>
      <c r="E36" s="2">
        <v>1.63</v>
      </c>
      <c r="F36" s="2">
        <v>3.2</v>
      </c>
      <c r="G36" s="2">
        <v>1.08</v>
      </c>
      <c r="H36" s="2">
        <v>17.18</v>
      </c>
      <c r="I36" s="2">
        <v>3.69</v>
      </c>
      <c r="J36" s="2">
        <v>13.49</v>
      </c>
      <c r="K36" s="2">
        <v>13.49</v>
      </c>
      <c r="L36" s="2">
        <v>0.9365</v>
      </c>
    </row>
    <row r="37" spans="1:12" x14ac:dyDescent="0.35">
      <c r="A37" s="2" t="s">
        <v>80</v>
      </c>
      <c r="B37" s="2">
        <v>3.9</v>
      </c>
      <c r="C37" s="2">
        <v>11.17</v>
      </c>
      <c r="D37" s="2">
        <v>8.2200000000000006</v>
      </c>
      <c r="E37" s="2">
        <v>2.42</v>
      </c>
      <c r="F37" s="2">
        <v>3.14</v>
      </c>
      <c r="G37" s="2">
        <v>1.61</v>
      </c>
      <c r="H37" s="2">
        <v>16.45</v>
      </c>
      <c r="I37" s="2">
        <v>3.07</v>
      </c>
      <c r="J37" s="2">
        <v>13.379999999999999</v>
      </c>
      <c r="K37" s="2">
        <v>13.379999999999999</v>
      </c>
      <c r="L37" s="2">
        <v>0.92490000000000006</v>
      </c>
    </row>
    <row r="38" spans="1:12" x14ac:dyDescent="0.35">
      <c r="A38" s="2" t="s">
        <v>16</v>
      </c>
      <c r="B38" s="2">
        <v>2.72</v>
      </c>
      <c r="C38" s="2">
        <v>9.3699999999999992</v>
      </c>
      <c r="D38" s="2">
        <v>7.59</v>
      </c>
      <c r="E38" s="2">
        <v>0.88</v>
      </c>
      <c r="F38" s="2">
        <v>0.36</v>
      </c>
      <c r="G38" s="2">
        <v>3.79</v>
      </c>
      <c r="H38" s="2">
        <v>15.76</v>
      </c>
      <c r="I38" s="2">
        <v>2.42</v>
      </c>
      <c r="J38" s="2">
        <v>13.34</v>
      </c>
      <c r="K38" s="2">
        <v>13.34</v>
      </c>
      <c r="L38" s="2">
        <v>0.90710000000000002</v>
      </c>
    </row>
    <row r="39" spans="1:12" x14ac:dyDescent="0.35">
      <c r="A39" s="2" t="s">
        <v>8</v>
      </c>
      <c r="B39" s="2">
        <v>3.41</v>
      </c>
      <c r="C39" s="2">
        <v>8.58</v>
      </c>
      <c r="D39" s="2">
        <v>6.57</v>
      </c>
      <c r="E39" s="2">
        <v>1.02</v>
      </c>
      <c r="F39" s="2">
        <v>1.49</v>
      </c>
      <c r="G39" s="2">
        <v>4.26</v>
      </c>
      <c r="H39" s="2">
        <v>17.55</v>
      </c>
      <c r="I39" s="2">
        <v>4.32</v>
      </c>
      <c r="J39" s="2">
        <v>13.23</v>
      </c>
      <c r="K39" s="2">
        <v>13.23</v>
      </c>
      <c r="L39" s="2">
        <v>0.88300000000000001</v>
      </c>
    </row>
    <row r="40" spans="1:12" x14ac:dyDescent="0.35">
      <c r="A40" s="2" t="s">
        <v>102</v>
      </c>
      <c r="B40" s="2">
        <v>0.3</v>
      </c>
      <c r="C40" s="2">
        <v>11.06</v>
      </c>
      <c r="D40" s="2">
        <v>5.48</v>
      </c>
      <c r="E40" s="2">
        <v>2.5099999999999998</v>
      </c>
      <c r="F40" s="2">
        <v>2.2599999999999998</v>
      </c>
      <c r="G40" s="2">
        <v>1</v>
      </c>
      <c r="H40" s="2">
        <v>16.309999999999999</v>
      </c>
      <c r="I40" s="2">
        <v>3.17</v>
      </c>
      <c r="J40" s="2">
        <v>13.139999999999999</v>
      </c>
      <c r="K40" s="2">
        <v>13.139999999999999</v>
      </c>
      <c r="L40" s="2">
        <v>0.91810000000000003</v>
      </c>
    </row>
    <row r="41" spans="1:12" x14ac:dyDescent="0.35">
      <c r="A41" s="2" t="s">
        <v>88</v>
      </c>
      <c r="B41" s="2">
        <v>3.21</v>
      </c>
      <c r="C41" s="2">
        <v>6.11</v>
      </c>
      <c r="D41" s="2">
        <v>11.37</v>
      </c>
      <c r="E41" s="2">
        <v>1.2</v>
      </c>
      <c r="F41" s="2">
        <v>2.67</v>
      </c>
      <c r="G41" s="2">
        <v>0.89</v>
      </c>
      <c r="H41" s="2">
        <v>15.71</v>
      </c>
      <c r="I41" s="2">
        <v>2.59</v>
      </c>
      <c r="J41" s="2">
        <v>13.120000000000001</v>
      </c>
      <c r="K41" s="2">
        <v>13.120000000000001</v>
      </c>
      <c r="L41" s="2">
        <v>0.92610000000000003</v>
      </c>
    </row>
    <row r="42" spans="1:12" x14ac:dyDescent="0.35">
      <c r="A42" s="2" t="s">
        <v>20</v>
      </c>
      <c r="B42" s="2">
        <v>1.82</v>
      </c>
      <c r="C42" s="2">
        <v>10.49</v>
      </c>
      <c r="D42" s="2">
        <v>11.88</v>
      </c>
      <c r="E42" s="2">
        <v>2.91</v>
      </c>
      <c r="F42" s="2">
        <v>3.11</v>
      </c>
      <c r="G42" s="2">
        <v>1.7</v>
      </c>
      <c r="H42" s="2">
        <v>16.18</v>
      </c>
      <c r="I42" s="2">
        <v>3.18</v>
      </c>
      <c r="J42" s="2">
        <v>13</v>
      </c>
      <c r="K42" s="2">
        <v>13</v>
      </c>
      <c r="L42" s="2">
        <v>0.92349999999999999</v>
      </c>
    </row>
    <row r="43" spans="1:12" x14ac:dyDescent="0.35">
      <c r="A43" s="2" t="s">
        <v>51</v>
      </c>
      <c r="B43" s="2">
        <v>3.52</v>
      </c>
      <c r="C43" s="2">
        <v>11.58</v>
      </c>
      <c r="D43" s="2">
        <v>19.170000000000002</v>
      </c>
      <c r="E43" s="2">
        <v>1.9</v>
      </c>
      <c r="F43" s="2">
        <v>4.9000000000000004</v>
      </c>
      <c r="G43" s="2">
        <v>1.06</v>
      </c>
      <c r="H43" s="2">
        <v>17.670000000000002</v>
      </c>
      <c r="I43" s="2">
        <v>4.74</v>
      </c>
      <c r="J43" s="2">
        <v>12.930000000000001</v>
      </c>
      <c r="K43" s="2">
        <v>12.930000000000001</v>
      </c>
      <c r="L43" s="2">
        <v>0.89529999999999998</v>
      </c>
    </row>
    <row r="44" spans="1:12" x14ac:dyDescent="0.35">
      <c r="A44" s="2" t="s">
        <v>75</v>
      </c>
      <c r="B44" s="2">
        <v>4.5999999999999996</v>
      </c>
      <c r="C44" s="2">
        <v>11.03</v>
      </c>
      <c r="D44" s="2">
        <v>15.62</v>
      </c>
      <c r="E44" s="2">
        <v>3.97</v>
      </c>
      <c r="F44" s="2">
        <v>3.81</v>
      </c>
      <c r="G44" s="2">
        <v>0.82</v>
      </c>
      <c r="H44" s="2">
        <v>16.5</v>
      </c>
      <c r="I44" s="2">
        <v>3.68</v>
      </c>
      <c r="J44" s="2">
        <v>12.82</v>
      </c>
      <c r="K44" s="2">
        <v>12.82</v>
      </c>
      <c r="L44" s="2">
        <v>0.94040000000000001</v>
      </c>
    </row>
    <row r="45" spans="1:12" x14ac:dyDescent="0.35">
      <c r="A45" s="2" t="s">
        <v>90</v>
      </c>
      <c r="B45" s="2">
        <v>3.03</v>
      </c>
      <c r="C45" s="2">
        <v>10.58</v>
      </c>
      <c r="D45" s="2">
        <v>10.63</v>
      </c>
      <c r="E45" s="2">
        <v>1.69</v>
      </c>
      <c r="F45" s="2">
        <v>1.84</v>
      </c>
      <c r="G45" s="2">
        <v>0.9</v>
      </c>
      <c r="H45" s="2">
        <v>17.489999999999998</v>
      </c>
      <c r="I45" s="2">
        <v>4.71</v>
      </c>
      <c r="J45" s="2">
        <v>12.779999999999998</v>
      </c>
      <c r="K45" s="2">
        <v>12.779999999999998</v>
      </c>
      <c r="L45" s="2">
        <v>0.94140000000000001</v>
      </c>
    </row>
    <row r="46" spans="1:12" x14ac:dyDescent="0.35">
      <c r="A46" s="2" t="s">
        <v>91</v>
      </c>
      <c r="B46" s="2">
        <v>2.99</v>
      </c>
      <c r="C46" s="2">
        <v>11.74</v>
      </c>
      <c r="D46" s="2">
        <v>11.92</v>
      </c>
      <c r="E46" s="2">
        <v>2.12</v>
      </c>
      <c r="F46" s="2">
        <v>4.2</v>
      </c>
      <c r="G46" s="2">
        <v>1.95</v>
      </c>
      <c r="H46" s="2">
        <v>16.29</v>
      </c>
      <c r="I46" s="2">
        <v>3.58</v>
      </c>
      <c r="J46" s="2">
        <v>12.709999999999999</v>
      </c>
      <c r="K46" s="2">
        <v>12.709999999999999</v>
      </c>
      <c r="L46" s="2">
        <v>0.93400000000000005</v>
      </c>
    </row>
    <row r="47" spans="1:12" x14ac:dyDescent="0.35">
      <c r="A47" s="2" t="s">
        <v>59</v>
      </c>
      <c r="B47" s="2">
        <v>3.13</v>
      </c>
      <c r="C47" s="2">
        <v>9.5299999999999994</v>
      </c>
      <c r="D47" s="2">
        <v>6.45</v>
      </c>
      <c r="E47" s="2">
        <v>2.94</v>
      </c>
      <c r="F47" s="2">
        <v>3.33</v>
      </c>
      <c r="G47" s="2">
        <v>1.0900000000000001</v>
      </c>
      <c r="H47" s="2">
        <v>15.98</v>
      </c>
      <c r="I47" s="2">
        <v>3.38</v>
      </c>
      <c r="J47" s="2">
        <v>12.600000000000001</v>
      </c>
      <c r="K47" s="2">
        <v>12.600000000000001</v>
      </c>
      <c r="L47" s="2">
        <v>0.88380000000000003</v>
      </c>
    </row>
    <row r="48" spans="1:12" x14ac:dyDescent="0.35">
      <c r="A48" s="2" t="s">
        <v>34</v>
      </c>
      <c r="B48" s="2">
        <v>3.68</v>
      </c>
      <c r="C48" s="2">
        <v>10.08</v>
      </c>
      <c r="D48" s="2">
        <v>10.57</v>
      </c>
      <c r="E48" s="2">
        <v>0.55000000000000004</v>
      </c>
      <c r="F48" s="2">
        <v>3.6</v>
      </c>
      <c r="G48" s="2">
        <v>1.3</v>
      </c>
      <c r="H48" s="2">
        <v>16.7</v>
      </c>
      <c r="I48" s="2">
        <v>4.13</v>
      </c>
      <c r="J48" s="2">
        <v>12.57</v>
      </c>
      <c r="K48" s="2">
        <v>12.57</v>
      </c>
      <c r="L48" s="2">
        <v>0.90329999999999999</v>
      </c>
    </row>
    <row r="49" spans="1:12" x14ac:dyDescent="0.35">
      <c r="A49" s="2" t="s">
        <v>15</v>
      </c>
      <c r="B49" s="2">
        <v>1.28</v>
      </c>
      <c r="C49" s="2">
        <v>6.81</v>
      </c>
      <c r="D49" s="2">
        <v>13.96</v>
      </c>
      <c r="E49" s="2">
        <v>3.42</v>
      </c>
      <c r="F49" s="2">
        <v>3.9</v>
      </c>
      <c r="G49" s="2">
        <v>1.02</v>
      </c>
      <c r="H49" s="2">
        <v>17.55</v>
      </c>
      <c r="I49" s="2">
        <v>5.04</v>
      </c>
      <c r="J49" s="2">
        <v>12.510000000000002</v>
      </c>
      <c r="K49" s="2">
        <v>12.510000000000002</v>
      </c>
      <c r="L49" s="2">
        <v>0.94089999999999996</v>
      </c>
    </row>
    <row r="50" spans="1:12" x14ac:dyDescent="0.35">
      <c r="A50" s="2" t="s">
        <v>94</v>
      </c>
      <c r="B50" s="2">
        <v>1.99</v>
      </c>
      <c r="C50" s="2">
        <v>17.32</v>
      </c>
      <c r="D50" s="2">
        <v>18.920000000000002</v>
      </c>
      <c r="E50" s="2">
        <v>3.34</v>
      </c>
      <c r="F50" s="2">
        <v>3.64</v>
      </c>
      <c r="G50" s="2">
        <v>1.37</v>
      </c>
      <c r="H50" s="2">
        <v>18.22</v>
      </c>
      <c r="I50" s="2">
        <v>5.75</v>
      </c>
      <c r="J50" s="2">
        <v>12.469999999999999</v>
      </c>
      <c r="K50" s="2">
        <v>12.469999999999999</v>
      </c>
      <c r="L50" s="2">
        <v>0.92889999999999995</v>
      </c>
    </row>
    <row r="51" spans="1:12" x14ac:dyDescent="0.35">
      <c r="A51" s="2" t="s">
        <v>95</v>
      </c>
      <c r="B51" s="2">
        <v>1.99</v>
      </c>
      <c r="C51" s="2">
        <v>17.32</v>
      </c>
      <c r="D51" s="2">
        <v>18.920000000000002</v>
      </c>
      <c r="E51" s="2">
        <v>3.34</v>
      </c>
      <c r="F51" s="2">
        <v>3.64</v>
      </c>
      <c r="G51" s="2">
        <v>2.25</v>
      </c>
      <c r="H51" s="2">
        <v>18.22</v>
      </c>
      <c r="I51" s="2">
        <v>5.75</v>
      </c>
      <c r="J51" s="2">
        <v>12.469999999999999</v>
      </c>
      <c r="K51" s="2">
        <v>12.469999999999999</v>
      </c>
      <c r="L51" s="2" t="e">
        <v>#N/A</v>
      </c>
    </row>
    <row r="52" spans="1:12" x14ac:dyDescent="0.35">
      <c r="A52" s="2" t="s">
        <v>92</v>
      </c>
      <c r="B52" s="2">
        <v>5.15</v>
      </c>
      <c r="C52" s="2">
        <v>10.130000000000001</v>
      </c>
      <c r="D52" s="2">
        <v>10.99</v>
      </c>
      <c r="E52" s="2">
        <v>0.77</v>
      </c>
      <c r="F52" s="2">
        <v>3.7</v>
      </c>
      <c r="G52" s="2">
        <v>1.46</v>
      </c>
      <c r="H52" s="2">
        <v>14.74</v>
      </c>
      <c r="I52" s="2">
        <v>2.36</v>
      </c>
      <c r="J52" s="2">
        <v>12.38</v>
      </c>
      <c r="K52" s="2">
        <v>12.38</v>
      </c>
      <c r="L52" s="2">
        <v>0.84150000000000003</v>
      </c>
    </row>
    <row r="53" spans="1:12" x14ac:dyDescent="0.35">
      <c r="A53" s="2" t="s">
        <v>10</v>
      </c>
      <c r="B53" s="2">
        <v>5.19</v>
      </c>
      <c r="C53" s="2">
        <v>10.98</v>
      </c>
      <c r="D53" s="2">
        <v>12.81</v>
      </c>
      <c r="E53" s="2">
        <v>0.89</v>
      </c>
      <c r="F53" s="2">
        <v>1.78</v>
      </c>
      <c r="G53" s="2">
        <v>1.57</v>
      </c>
      <c r="H53" s="2">
        <v>16.53</v>
      </c>
      <c r="I53" s="2">
        <v>4.16</v>
      </c>
      <c r="J53" s="2">
        <v>12.370000000000001</v>
      </c>
      <c r="K53" s="2">
        <v>12.370000000000001</v>
      </c>
      <c r="L53" s="2">
        <v>0.92800000000000005</v>
      </c>
    </row>
    <row r="54" spans="1:12" x14ac:dyDescent="0.35">
      <c r="A54" s="2" t="s">
        <v>82</v>
      </c>
      <c r="B54" s="2">
        <v>2.76</v>
      </c>
      <c r="C54" s="2">
        <v>9.49</v>
      </c>
      <c r="D54" s="2">
        <v>9.35</v>
      </c>
      <c r="E54" s="2">
        <v>3.37</v>
      </c>
      <c r="F54" s="2">
        <v>3.45</v>
      </c>
      <c r="G54" s="2">
        <v>0.53</v>
      </c>
      <c r="H54" s="2">
        <v>15.3</v>
      </c>
      <c r="I54" s="2">
        <v>2.99</v>
      </c>
      <c r="J54" s="2">
        <v>12.31</v>
      </c>
      <c r="K54" s="2">
        <v>12.31</v>
      </c>
      <c r="L54" s="2">
        <v>0.9385</v>
      </c>
    </row>
    <row r="55" spans="1:12" x14ac:dyDescent="0.35">
      <c r="A55" s="2" t="s">
        <v>19</v>
      </c>
      <c r="B55" s="2">
        <v>3.88</v>
      </c>
      <c r="C55" s="2">
        <v>12.08</v>
      </c>
      <c r="D55" s="2">
        <v>13.42</v>
      </c>
      <c r="E55" s="2">
        <v>3.33</v>
      </c>
      <c r="F55" s="2">
        <v>4.42</v>
      </c>
      <c r="G55" s="2">
        <v>2.5299999999999998</v>
      </c>
      <c r="H55" s="2">
        <v>16.45</v>
      </c>
      <c r="I55" s="2">
        <v>4.1900000000000004</v>
      </c>
      <c r="J55" s="2">
        <v>12.259999999999998</v>
      </c>
      <c r="K55" s="2">
        <v>12.259999999999998</v>
      </c>
      <c r="L55" s="2">
        <v>0.91690000000000005</v>
      </c>
    </row>
    <row r="56" spans="1:12" x14ac:dyDescent="0.35">
      <c r="A56" s="2" t="s">
        <v>24</v>
      </c>
      <c r="B56" s="2">
        <v>4.6399999999999997</v>
      </c>
      <c r="C56" s="2">
        <v>9.9600000000000009</v>
      </c>
      <c r="D56" s="2">
        <v>9.94</v>
      </c>
      <c r="E56" s="2">
        <v>3.08</v>
      </c>
      <c r="F56" s="2">
        <v>3.62</v>
      </c>
      <c r="G56" s="2">
        <v>1.67</v>
      </c>
      <c r="H56" s="2">
        <v>15.55</v>
      </c>
      <c r="I56" s="2">
        <v>3.38</v>
      </c>
      <c r="J56" s="2">
        <v>12.170000000000002</v>
      </c>
      <c r="K56" s="2">
        <v>12.170000000000002</v>
      </c>
      <c r="L56" s="2">
        <v>0.89139999999999997</v>
      </c>
    </row>
    <row r="57" spans="1:12" x14ac:dyDescent="0.35">
      <c r="A57" s="2" t="s">
        <v>62</v>
      </c>
      <c r="B57" s="2">
        <v>2.25</v>
      </c>
      <c r="C57" s="2">
        <v>9.58</v>
      </c>
      <c r="D57" s="2">
        <v>7.72</v>
      </c>
      <c r="E57" s="2">
        <v>2.48</v>
      </c>
      <c r="F57" s="2">
        <v>3.43</v>
      </c>
      <c r="G57" s="2">
        <v>0.8</v>
      </c>
      <c r="H57" s="2">
        <v>16.010000000000002</v>
      </c>
      <c r="I57" s="2">
        <v>3.85</v>
      </c>
      <c r="J57" s="2">
        <v>12.160000000000002</v>
      </c>
      <c r="K57" s="2">
        <v>12.160000000000002</v>
      </c>
      <c r="L57" s="2">
        <v>0.93440000000000001</v>
      </c>
    </row>
    <row r="58" spans="1:12" x14ac:dyDescent="0.35">
      <c r="A58" s="2" t="s">
        <v>71</v>
      </c>
      <c r="B58" s="2">
        <v>3.8</v>
      </c>
      <c r="C58" s="2">
        <v>9.31</v>
      </c>
      <c r="D58" s="2">
        <v>10.55</v>
      </c>
      <c r="E58" s="2">
        <v>2.14</v>
      </c>
      <c r="F58" s="2">
        <v>2.35</v>
      </c>
      <c r="G58" s="2">
        <v>1.9</v>
      </c>
      <c r="H58" s="2">
        <v>15.24</v>
      </c>
      <c r="I58" s="2">
        <v>3.08</v>
      </c>
      <c r="J58" s="2">
        <v>12.16</v>
      </c>
      <c r="K58" s="2">
        <v>12.16</v>
      </c>
      <c r="L58" s="2">
        <v>0.93479999999999996</v>
      </c>
    </row>
    <row r="59" spans="1:12" x14ac:dyDescent="0.35">
      <c r="A59" s="2" t="s">
        <v>49</v>
      </c>
      <c r="B59" s="2">
        <v>3.04</v>
      </c>
      <c r="C59" s="2">
        <v>13.74</v>
      </c>
      <c r="D59" s="2">
        <v>10.85</v>
      </c>
      <c r="E59" s="2">
        <v>0.66</v>
      </c>
      <c r="F59" s="2">
        <v>3.09</v>
      </c>
      <c r="G59" s="2">
        <v>1.29</v>
      </c>
      <c r="H59" s="2">
        <v>16.57</v>
      </c>
      <c r="I59" s="2">
        <v>4.42</v>
      </c>
      <c r="J59" s="2">
        <v>12.15</v>
      </c>
      <c r="K59" s="2">
        <v>12.15</v>
      </c>
      <c r="L59" s="2" t="e">
        <v>#N/A</v>
      </c>
    </row>
    <row r="60" spans="1:12" x14ac:dyDescent="0.35">
      <c r="A60" s="2" t="s">
        <v>53</v>
      </c>
      <c r="B60" s="2">
        <v>2.88</v>
      </c>
      <c r="C60" s="2">
        <v>11.25</v>
      </c>
      <c r="D60" s="2">
        <v>12.42</v>
      </c>
      <c r="E60" s="2">
        <v>1.84</v>
      </c>
      <c r="F60" s="2">
        <v>3.81</v>
      </c>
      <c r="G60" s="2">
        <v>1.68</v>
      </c>
      <c r="H60" s="2">
        <v>18.41</v>
      </c>
      <c r="I60" s="2">
        <v>6.33</v>
      </c>
      <c r="J60" s="2">
        <v>12.08</v>
      </c>
      <c r="K60" s="2">
        <v>12.08</v>
      </c>
      <c r="L60" s="2">
        <v>0.84550000000000003</v>
      </c>
    </row>
    <row r="61" spans="1:12" x14ac:dyDescent="0.35">
      <c r="A61" s="2" t="s">
        <v>14</v>
      </c>
      <c r="B61" s="2">
        <v>2.34</v>
      </c>
      <c r="C61" s="2">
        <v>10.6</v>
      </c>
      <c r="D61" s="2">
        <v>14.47</v>
      </c>
      <c r="E61" s="2">
        <v>4.3600000000000003</v>
      </c>
      <c r="F61" s="2">
        <v>3.08</v>
      </c>
      <c r="G61" s="2">
        <v>1.0900000000000001</v>
      </c>
      <c r="H61" s="2">
        <v>16.46</v>
      </c>
      <c r="I61" s="2">
        <v>4.54</v>
      </c>
      <c r="J61" s="2">
        <v>11.920000000000002</v>
      </c>
      <c r="K61" s="2">
        <v>11.920000000000002</v>
      </c>
      <c r="L61" s="2">
        <v>0.92479999999999996</v>
      </c>
    </row>
    <row r="62" spans="1:12" x14ac:dyDescent="0.35">
      <c r="A62" s="2" t="s">
        <v>3</v>
      </c>
      <c r="B62" s="2">
        <v>10.58</v>
      </c>
      <c r="C62" s="2">
        <v>8.08</v>
      </c>
      <c r="D62" s="2">
        <v>1.86</v>
      </c>
      <c r="E62" s="2">
        <v>3.55</v>
      </c>
      <c r="F62" s="2">
        <v>0.56999999999999995</v>
      </c>
      <c r="G62" s="2">
        <v>2.44</v>
      </c>
      <c r="H62" s="2">
        <v>11.81</v>
      </c>
      <c r="I62" s="2">
        <v>0</v>
      </c>
      <c r="J62" s="2">
        <v>11.81</v>
      </c>
      <c r="K62" s="2">
        <v>11.81</v>
      </c>
      <c r="L62" s="2">
        <v>0</v>
      </c>
    </row>
    <row r="63" spans="1:12" x14ac:dyDescent="0.35">
      <c r="A63" s="2" t="s">
        <v>4</v>
      </c>
      <c r="B63" s="2">
        <v>10.58</v>
      </c>
      <c r="C63" s="2">
        <v>8.08</v>
      </c>
      <c r="D63" s="2">
        <v>1.86</v>
      </c>
      <c r="E63" s="2">
        <v>3.55</v>
      </c>
      <c r="F63" s="2">
        <v>0.56999999999999995</v>
      </c>
      <c r="G63" s="2">
        <v>0</v>
      </c>
      <c r="H63" s="2">
        <v>11.81</v>
      </c>
      <c r="I63" s="2">
        <v>0</v>
      </c>
      <c r="J63" s="2">
        <v>11.81</v>
      </c>
      <c r="K63" s="2">
        <v>11.81</v>
      </c>
      <c r="L63" s="2">
        <v>0</v>
      </c>
    </row>
    <row r="64" spans="1:12" x14ac:dyDescent="0.35">
      <c r="A64" s="2" t="s">
        <v>72</v>
      </c>
      <c r="B64" s="2">
        <v>3.92</v>
      </c>
      <c r="C64" s="2">
        <v>10.71</v>
      </c>
      <c r="D64" s="2">
        <v>14.6</v>
      </c>
      <c r="E64" s="2">
        <v>2.34</v>
      </c>
      <c r="F64" s="2">
        <v>2.88</v>
      </c>
      <c r="G64" s="2">
        <v>2.52</v>
      </c>
      <c r="H64" s="2">
        <v>15.81</v>
      </c>
      <c r="I64" s="2">
        <v>4.01</v>
      </c>
      <c r="J64" s="2">
        <v>11.8</v>
      </c>
      <c r="K64" s="2">
        <v>11.8</v>
      </c>
      <c r="L64" s="2">
        <v>0.9375</v>
      </c>
    </row>
    <row r="65" spans="1:12" x14ac:dyDescent="0.35">
      <c r="A65" s="2" t="s">
        <v>97</v>
      </c>
      <c r="B65" s="2">
        <v>3.73</v>
      </c>
      <c r="C65" s="2">
        <v>10.08</v>
      </c>
      <c r="D65" s="2">
        <v>11.53</v>
      </c>
      <c r="E65" s="2">
        <v>1.71</v>
      </c>
      <c r="F65" s="2">
        <v>4.12</v>
      </c>
      <c r="G65" s="2">
        <v>0.99</v>
      </c>
      <c r="H65" s="2">
        <v>16.16</v>
      </c>
      <c r="I65" s="2">
        <v>4.49</v>
      </c>
      <c r="J65" s="2">
        <v>11.67</v>
      </c>
      <c r="K65" s="2">
        <v>11.67</v>
      </c>
      <c r="L65" s="2">
        <v>0.92230000000000001</v>
      </c>
    </row>
    <row r="66" spans="1:12" x14ac:dyDescent="0.35">
      <c r="A66" s="2" t="s">
        <v>76</v>
      </c>
      <c r="B66" s="2">
        <v>4.18</v>
      </c>
      <c r="C66" s="2">
        <v>12.8</v>
      </c>
      <c r="D66" s="2">
        <v>11.26</v>
      </c>
      <c r="E66" s="2">
        <v>1.75</v>
      </c>
      <c r="F66" s="2">
        <v>4.16</v>
      </c>
      <c r="G66" s="2">
        <v>1.05</v>
      </c>
      <c r="H66" s="2">
        <v>15.88</v>
      </c>
      <c r="I66" s="2">
        <v>4.25</v>
      </c>
      <c r="J66" s="2">
        <v>11.63</v>
      </c>
      <c r="K66" s="2">
        <v>11.63</v>
      </c>
      <c r="L66" s="2">
        <v>0.93230000000000002</v>
      </c>
    </row>
    <row r="67" spans="1:12" x14ac:dyDescent="0.35">
      <c r="A67" s="2" t="s">
        <v>93</v>
      </c>
      <c r="B67" s="2">
        <v>3.03</v>
      </c>
      <c r="C67" s="2">
        <v>9.24</v>
      </c>
      <c r="D67" s="2">
        <v>4.04</v>
      </c>
      <c r="E67" s="2">
        <v>0.73</v>
      </c>
      <c r="F67" s="2">
        <v>1.63</v>
      </c>
      <c r="G67" s="2">
        <v>2.08</v>
      </c>
      <c r="H67" s="2">
        <v>15.14</v>
      </c>
      <c r="I67" s="2">
        <v>3.52</v>
      </c>
      <c r="J67" s="2">
        <v>11.620000000000001</v>
      </c>
      <c r="K67" s="2">
        <v>11.620000000000001</v>
      </c>
      <c r="L67" s="2">
        <v>0.91910000000000003</v>
      </c>
    </row>
    <row r="68" spans="1:12" x14ac:dyDescent="0.35">
      <c r="A68" s="2" t="s">
        <v>22</v>
      </c>
      <c r="B68" s="2">
        <v>3.73</v>
      </c>
      <c r="C68" s="2">
        <v>10.18</v>
      </c>
      <c r="D68" s="2">
        <v>11.73</v>
      </c>
      <c r="E68" s="2">
        <v>1.37</v>
      </c>
      <c r="F68" s="2">
        <v>4.09</v>
      </c>
      <c r="G68" s="2">
        <v>0.54</v>
      </c>
      <c r="H68" s="2">
        <v>16.91</v>
      </c>
      <c r="I68" s="2">
        <v>5.3</v>
      </c>
      <c r="J68" s="2">
        <v>11.61</v>
      </c>
      <c r="K68" s="2">
        <v>11.61</v>
      </c>
      <c r="L68" s="2">
        <v>0.89500000000000002</v>
      </c>
    </row>
    <row r="69" spans="1:12" x14ac:dyDescent="0.35">
      <c r="A69" s="2" t="s">
        <v>79</v>
      </c>
      <c r="B69" s="2">
        <v>3.95</v>
      </c>
      <c r="C69" s="2">
        <v>11.27</v>
      </c>
      <c r="D69" s="2">
        <v>12.24</v>
      </c>
      <c r="E69" s="2">
        <v>5.23</v>
      </c>
      <c r="F69" s="2">
        <v>4.03</v>
      </c>
      <c r="G69" s="2">
        <v>1.1499999999999999</v>
      </c>
      <c r="H69" s="2">
        <v>16.440000000000001</v>
      </c>
      <c r="I69" s="2">
        <v>4.8600000000000003</v>
      </c>
      <c r="J69" s="2">
        <v>11.580000000000002</v>
      </c>
      <c r="K69" s="2">
        <v>11.580000000000002</v>
      </c>
      <c r="L69" s="2">
        <v>0.81640000000000001</v>
      </c>
    </row>
    <row r="70" spans="1:12" x14ac:dyDescent="0.35">
      <c r="A70" s="2" t="s">
        <v>18</v>
      </c>
      <c r="B70" s="2">
        <v>1.6</v>
      </c>
      <c r="C70" s="2">
        <v>9.0399999999999991</v>
      </c>
      <c r="D70" s="2">
        <v>11.4</v>
      </c>
      <c r="E70" s="2">
        <v>2.74</v>
      </c>
      <c r="F70" s="2">
        <v>1.99</v>
      </c>
      <c r="G70" s="2">
        <v>2.15</v>
      </c>
      <c r="H70" s="2">
        <v>15.59</v>
      </c>
      <c r="I70" s="2">
        <v>4.25</v>
      </c>
      <c r="J70" s="2">
        <v>11.34</v>
      </c>
      <c r="K70" s="2">
        <v>11.34</v>
      </c>
      <c r="L70" s="2">
        <v>0.93589999999999995</v>
      </c>
    </row>
    <row r="71" spans="1:12" x14ac:dyDescent="0.35">
      <c r="A71" s="2" t="s">
        <v>9</v>
      </c>
      <c r="B71" s="2">
        <v>2.56</v>
      </c>
      <c r="C71" s="2">
        <v>11.1</v>
      </c>
      <c r="D71" s="2">
        <v>10.36</v>
      </c>
      <c r="E71" s="2">
        <v>2.41</v>
      </c>
      <c r="F71" s="2">
        <v>4.76</v>
      </c>
      <c r="G71" s="2">
        <v>1.05</v>
      </c>
      <c r="H71" s="2">
        <v>15.72</v>
      </c>
      <c r="I71" s="2">
        <v>4.45</v>
      </c>
      <c r="J71" s="2">
        <v>11.27</v>
      </c>
      <c r="K71" s="2">
        <v>11.27</v>
      </c>
      <c r="L71" s="2">
        <v>0.90890000000000004</v>
      </c>
    </row>
    <row r="72" spans="1:12" x14ac:dyDescent="0.35">
      <c r="A72" s="2" t="s">
        <v>33</v>
      </c>
      <c r="B72" s="2">
        <v>3.55</v>
      </c>
      <c r="C72" s="2">
        <v>10.08</v>
      </c>
      <c r="D72" s="2">
        <v>8.3699999999999992</v>
      </c>
      <c r="E72" s="2">
        <v>2.39</v>
      </c>
      <c r="F72" s="2">
        <v>3.23</v>
      </c>
      <c r="G72" s="2">
        <v>0.76</v>
      </c>
      <c r="H72" s="2">
        <v>14.97</v>
      </c>
      <c r="I72" s="2">
        <v>3.77</v>
      </c>
      <c r="J72" s="2">
        <v>11.200000000000001</v>
      </c>
      <c r="K72" s="2">
        <v>11.200000000000001</v>
      </c>
      <c r="L72" s="2">
        <v>0.94030000000000002</v>
      </c>
    </row>
    <row r="73" spans="1:12" x14ac:dyDescent="0.35">
      <c r="A73" s="2" t="s">
        <v>6</v>
      </c>
      <c r="B73" s="2">
        <v>3.81</v>
      </c>
      <c r="C73" s="2">
        <v>10.58</v>
      </c>
      <c r="D73" s="2">
        <v>11.9</v>
      </c>
      <c r="E73" s="2">
        <v>0.81</v>
      </c>
      <c r="F73" s="2">
        <v>3.19</v>
      </c>
      <c r="G73" s="2">
        <v>0.62</v>
      </c>
      <c r="H73" s="2">
        <v>15.53</v>
      </c>
      <c r="I73" s="2">
        <v>4.33</v>
      </c>
      <c r="J73" s="2">
        <v>11.2</v>
      </c>
      <c r="K73" s="2">
        <v>11.2</v>
      </c>
      <c r="L73" s="2">
        <v>0.92400000000000004</v>
      </c>
    </row>
    <row r="74" spans="1:12" x14ac:dyDescent="0.35">
      <c r="A74" s="2" t="s">
        <v>13</v>
      </c>
      <c r="B74" s="2">
        <v>3.69</v>
      </c>
      <c r="C74" s="2">
        <v>9.85</v>
      </c>
      <c r="D74" s="2">
        <v>9.7799999999999994</v>
      </c>
      <c r="E74" s="2">
        <v>3.67</v>
      </c>
      <c r="F74" s="2">
        <v>4.05</v>
      </c>
      <c r="G74" s="2">
        <v>0.93</v>
      </c>
      <c r="H74" s="2">
        <v>16.93</v>
      </c>
      <c r="I74" s="2">
        <v>5.78</v>
      </c>
      <c r="J74" s="2">
        <v>11.149999999999999</v>
      </c>
      <c r="K74" s="2">
        <v>11.149999999999999</v>
      </c>
      <c r="L74" s="2">
        <v>0.94130000000000003</v>
      </c>
    </row>
    <row r="75" spans="1:12" x14ac:dyDescent="0.35">
      <c r="A75" s="2" t="s">
        <v>32</v>
      </c>
      <c r="B75" s="2">
        <v>0</v>
      </c>
      <c r="C75" s="2">
        <v>8.17</v>
      </c>
      <c r="D75" s="2">
        <v>6.85</v>
      </c>
      <c r="E75" s="2">
        <v>3.69</v>
      </c>
      <c r="F75" s="2">
        <v>2.74</v>
      </c>
      <c r="G75" s="2">
        <v>0.44</v>
      </c>
      <c r="H75" s="2">
        <v>15.44</v>
      </c>
      <c r="I75" s="2">
        <v>4.32</v>
      </c>
      <c r="J75" s="2">
        <v>11.12</v>
      </c>
      <c r="K75" s="2">
        <v>11.12</v>
      </c>
      <c r="L75" s="2">
        <v>0.92920000000000003</v>
      </c>
    </row>
    <row r="76" spans="1:12" x14ac:dyDescent="0.35">
      <c r="A76" s="2" t="s">
        <v>86</v>
      </c>
      <c r="B76" s="2">
        <v>3.57</v>
      </c>
      <c r="C76" s="2">
        <v>12.03</v>
      </c>
      <c r="D76" s="2">
        <v>12.4</v>
      </c>
      <c r="E76" s="2">
        <v>1.21</v>
      </c>
      <c r="F76" s="2">
        <v>4.3</v>
      </c>
      <c r="G76" s="2">
        <v>2.12</v>
      </c>
      <c r="H76" s="2">
        <v>17.12</v>
      </c>
      <c r="I76" s="2">
        <v>6.02</v>
      </c>
      <c r="J76" s="2">
        <v>11.100000000000001</v>
      </c>
      <c r="K76" s="2">
        <v>11.100000000000001</v>
      </c>
      <c r="L76" s="2">
        <v>0.91400000000000003</v>
      </c>
    </row>
    <row r="77" spans="1:12" x14ac:dyDescent="0.35">
      <c r="A77" s="2" t="s">
        <v>73</v>
      </c>
      <c r="B77" s="2">
        <v>3.73</v>
      </c>
      <c r="C77" s="2">
        <v>9.91</v>
      </c>
      <c r="D77" s="2">
        <v>7.15</v>
      </c>
      <c r="E77" s="2">
        <v>3.28</v>
      </c>
      <c r="F77" s="2">
        <v>2.93</v>
      </c>
      <c r="G77" s="2">
        <v>1.52</v>
      </c>
      <c r="H77" s="2">
        <v>14.52</v>
      </c>
      <c r="I77" s="2">
        <v>3.47</v>
      </c>
      <c r="J77" s="2">
        <v>11.049999999999999</v>
      </c>
      <c r="K77" s="2">
        <v>11.049999999999999</v>
      </c>
      <c r="L77" s="2">
        <v>0.89739999999999998</v>
      </c>
    </row>
    <row r="78" spans="1:12" x14ac:dyDescent="0.35">
      <c r="A78" s="2" t="s">
        <v>40</v>
      </c>
      <c r="B78" s="2">
        <v>3.27</v>
      </c>
      <c r="C78" s="2">
        <v>10.39</v>
      </c>
      <c r="D78" s="2">
        <v>12.7</v>
      </c>
      <c r="E78" s="2">
        <v>1.34</v>
      </c>
      <c r="F78" s="2">
        <v>3.65</v>
      </c>
      <c r="G78" s="2">
        <v>0.6</v>
      </c>
      <c r="H78" s="2">
        <v>15.62</v>
      </c>
      <c r="I78" s="2">
        <v>4.6500000000000004</v>
      </c>
      <c r="J78" s="2">
        <v>10.969999999999999</v>
      </c>
      <c r="K78" s="2">
        <v>10.969999999999999</v>
      </c>
      <c r="L78" s="2">
        <v>0.93479999999999996</v>
      </c>
    </row>
    <row r="79" spans="1:12" x14ac:dyDescent="0.35">
      <c r="A79" s="2" t="s">
        <v>98</v>
      </c>
      <c r="B79" s="2">
        <v>3.27</v>
      </c>
      <c r="C79" s="2">
        <v>10.39</v>
      </c>
      <c r="D79" s="2">
        <v>12.7</v>
      </c>
      <c r="E79" s="2">
        <v>1.34</v>
      </c>
      <c r="F79" s="2">
        <v>3.65</v>
      </c>
      <c r="G79" s="2">
        <v>0.71</v>
      </c>
      <c r="H79" s="2">
        <v>15.62</v>
      </c>
      <c r="I79" s="2">
        <v>4.6500000000000004</v>
      </c>
      <c r="J79" s="2">
        <v>10.969999999999999</v>
      </c>
      <c r="K79" s="2">
        <v>10.969999999999999</v>
      </c>
      <c r="L79" s="2">
        <v>0.93479999999999996</v>
      </c>
    </row>
    <row r="80" spans="1:12" x14ac:dyDescent="0.35">
      <c r="A80" s="2" t="s">
        <v>25</v>
      </c>
      <c r="B80" s="2">
        <v>3.71</v>
      </c>
      <c r="C80" s="2">
        <v>10.36</v>
      </c>
      <c r="D80" s="2">
        <v>12.5</v>
      </c>
      <c r="E80" s="2">
        <v>0.46</v>
      </c>
      <c r="F80" s="2">
        <v>2.08</v>
      </c>
      <c r="G80" s="2">
        <v>1.59</v>
      </c>
      <c r="H80" s="2">
        <v>14.89</v>
      </c>
      <c r="I80" s="2">
        <v>4.0599999999999996</v>
      </c>
      <c r="J80" s="2">
        <v>10.830000000000002</v>
      </c>
      <c r="K80" s="2">
        <v>10.830000000000002</v>
      </c>
      <c r="L80" s="2">
        <v>0.87180000000000002</v>
      </c>
    </row>
    <row r="81" spans="1:12" x14ac:dyDescent="0.35">
      <c r="A81" s="2" t="s">
        <v>55</v>
      </c>
      <c r="B81" s="2">
        <v>2.04</v>
      </c>
      <c r="C81" s="2">
        <v>5.86</v>
      </c>
      <c r="D81" s="2">
        <v>8</v>
      </c>
      <c r="E81" s="2">
        <v>6.45</v>
      </c>
      <c r="F81" s="2">
        <v>2.59</v>
      </c>
      <c r="G81" s="2">
        <v>1.04</v>
      </c>
      <c r="H81" s="2">
        <v>12.9</v>
      </c>
      <c r="I81" s="2">
        <v>2.13</v>
      </c>
      <c r="J81" s="2">
        <v>10.77</v>
      </c>
      <c r="K81" s="2">
        <v>10.77</v>
      </c>
      <c r="L81" s="2">
        <v>0.91100000000000003</v>
      </c>
    </row>
    <row r="82" spans="1:12" x14ac:dyDescent="0.35">
      <c r="A82" s="2" t="s">
        <v>39</v>
      </c>
      <c r="B82" s="2">
        <v>4.3</v>
      </c>
      <c r="C82" s="2">
        <v>11.47</v>
      </c>
      <c r="D82" s="2">
        <v>11.48</v>
      </c>
      <c r="E82" s="2">
        <v>2.16</v>
      </c>
      <c r="F82" s="2">
        <v>4.3899999999999997</v>
      </c>
      <c r="G82" s="2">
        <v>1.3</v>
      </c>
      <c r="H82" s="2">
        <v>16.149999999999999</v>
      </c>
      <c r="I82" s="2">
        <v>5.42</v>
      </c>
      <c r="J82" s="2">
        <v>10.729999999999999</v>
      </c>
      <c r="K82" s="2">
        <v>10.729999999999999</v>
      </c>
      <c r="L82" s="2">
        <v>0.93410000000000004</v>
      </c>
    </row>
    <row r="83" spans="1:12" x14ac:dyDescent="0.35">
      <c r="A83" s="2" t="s">
        <v>37</v>
      </c>
      <c r="B83" s="2">
        <v>4.6500000000000004</v>
      </c>
      <c r="C83" s="2">
        <v>11.09</v>
      </c>
      <c r="D83" s="2">
        <v>12.11</v>
      </c>
      <c r="E83" s="2">
        <v>2.78</v>
      </c>
      <c r="F83" s="2">
        <v>4.5199999999999996</v>
      </c>
      <c r="G83" s="2">
        <v>1.69</v>
      </c>
      <c r="H83" s="2">
        <v>15.46</v>
      </c>
      <c r="I83" s="2">
        <v>5.03</v>
      </c>
      <c r="J83" s="2">
        <v>10.43</v>
      </c>
      <c r="K83" s="2">
        <v>10.43</v>
      </c>
      <c r="L83" s="2">
        <v>0.9244</v>
      </c>
    </row>
    <row r="84" spans="1:12" x14ac:dyDescent="0.35">
      <c r="A84" s="2" t="s">
        <v>26</v>
      </c>
      <c r="B84" s="2">
        <v>3.83</v>
      </c>
      <c r="C84" s="2">
        <v>10.17</v>
      </c>
      <c r="D84" s="2">
        <v>11.82</v>
      </c>
      <c r="E84" s="2">
        <v>0.77</v>
      </c>
      <c r="F84" s="2">
        <v>3.35</v>
      </c>
      <c r="G84" s="2">
        <v>1.59</v>
      </c>
      <c r="H84" s="2">
        <v>15.04</v>
      </c>
      <c r="I84" s="2">
        <v>4.6100000000000003</v>
      </c>
      <c r="J84" s="2">
        <v>10.43</v>
      </c>
      <c r="K84" s="2">
        <v>10.43</v>
      </c>
      <c r="L84" s="2">
        <v>0.92749999999999999</v>
      </c>
    </row>
    <row r="85" spans="1:12" x14ac:dyDescent="0.35">
      <c r="A85" s="2" t="s">
        <v>89</v>
      </c>
      <c r="B85" s="2">
        <v>4.05</v>
      </c>
      <c r="C85" s="2">
        <v>9.44</v>
      </c>
      <c r="D85" s="2">
        <v>13.39</v>
      </c>
      <c r="E85" s="2">
        <v>3.26</v>
      </c>
      <c r="F85" s="2">
        <v>2.5099999999999998</v>
      </c>
      <c r="G85" s="2">
        <v>0.89</v>
      </c>
      <c r="H85" s="2">
        <v>16.14</v>
      </c>
      <c r="I85" s="2">
        <v>5.72</v>
      </c>
      <c r="J85" s="2">
        <v>10.420000000000002</v>
      </c>
      <c r="K85" s="2">
        <v>10.420000000000002</v>
      </c>
      <c r="L85" s="2">
        <v>0.9425</v>
      </c>
    </row>
    <row r="86" spans="1:12" x14ac:dyDescent="0.35">
      <c r="A86" s="2" t="s">
        <v>17</v>
      </c>
      <c r="B86" s="2">
        <v>3.42</v>
      </c>
      <c r="C86" s="2">
        <v>10.35</v>
      </c>
      <c r="D86" s="2">
        <v>11.04</v>
      </c>
      <c r="E86" s="2">
        <v>0.64</v>
      </c>
      <c r="F86" s="2">
        <v>3.24</v>
      </c>
      <c r="G86" s="2">
        <v>1.05</v>
      </c>
      <c r="H86" s="2">
        <v>15.18</v>
      </c>
      <c r="I86" s="2">
        <v>5.12</v>
      </c>
      <c r="J86" s="2">
        <v>10.059999999999999</v>
      </c>
      <c r="K86" s="2">
        <v>10.059999999999999</v>
      </c>
      <c r="L86" s="2">
        <v>0.94350000000000001</v>
      </c>
    </row>
    <row r="87" spans="1:12" x14ac:dyDescent="0.35">
      <c r="A87" s="2" t="s">
        <v>29</v>
      </c>
      <c r="B87" s="2">
        <v>3.04</v>
      </c>
      <c r="C87" s="2">
        <v>9.81</v>
      </c>
      <c r="D87" s="2">
        <v>9.6999999999999993</v>
      </c>
      <c r="E87" s="2">
        <v>1</v>
      </c>
      <c r="F87" s="2">
        <v>2.21</v>
      </c>
      <c r="G87" s="2">
        <v>2.21</v>
      </c>
      <c r="H87" s="2">
        <v>14.94</v>
      </c>
      <c r="I87" s="2">
        <v>4.91</v>
      </c>
      <c r="J87" s="2">
        <v>10.029999999999999</v>
      </c>
      <c r="K87" s="2">
        <v>10.029999999999999</v>
      </c>
      <c r="L87" s="2">
        <v>0.89049999999999996</v>
      </c>
    </row>
    <row r="88" spans="1:12" x14ac:dyDescent="0.35">
      <c r="A88" s="2" t="s">
        <v>11</v>
      </c>
      <c r="B88" s="2">
        <v>1.71</v>
      </c>
      <c r="C88" s="2">
        <v>12.48</v>
      </c>
      <c r="D88" s="2">
        <v>17.04</v>
      </c>
      <c r="E88" s="2">
        <v>2.38</v>
      </c>
      <c r="F88" s="2">
        <v>6.28</v>
      </c>
      <c r="G88" s="2">
        <v>0.62</v>
      </c>
      <c r="H88" s="2">
        <v>15.84</v>
      </c>
      <c r="I88" s="2">
        <v>5.87</v>
      </c>
      <c r="J88" s="2">
        <v>9.9699999999999989</v>
      </c>
      <c r="K88" s="2">
        <v>9.9699999999999989</v>
      </c>
      <c r="L88" s="2">
        <v>0.8125</v>
      </c>
    </row>
    <row r="89" spans="1:12" x14ac:dyDescent="0.35">
      <c r="A89" s="2" t="s">
        <v>23</v>
      </c>
      <c r="B89" s="2">
        <v>3.99</v>
      </c>
      <c r="C89" s="2">
        <v>10.51</v>
      </c>
      <c r="D89" s="2">
        <v>12.36</v>
      </c>
      <c r="E89" s="2">
        <v>2.58</v>
      </c>
      <c r="F89" s="2">
        <v>4.03</v>
      </c>
      <c r="G89" s="2">
        <v>1.22</v>
      </c>
      <c r="H89" s="2">
        <v>15.01</v>
      </c>
      <c r="I89" s="2">
        <v>5.04</v>
      </c>
      <c r="J89" s="2">
        <v>9.9699999999999989</v>
      </c>
      <c r="K89" s="2">
        <v>9.9699999999999989</v>
      </c>
      <c r="L89" s="2">
        <v>0.92190000000000005</v>
      </c>
    </row>
    <row r="90" spans="1:12" x14ac:dyDescent="0.35">
      <c r="A90" s="2" t="s">
        <v>45</v>
      </c>
      <c r="B90" s="2">
        <v>9.6300000000000008</v>
      </c>
      <c r="C90" s="2">
        <v>10.28</v>
      </c>
      <c r="D90" s="2">
        <v>11.35</v>
      </c>
      <c r="E90" s="2">
        <v>5.12</v>
      </c>
      <c r="F90" s="2">
        <v>4.6399999999999997</v>
      </c>
      <c r="G90" s="2">
        <v>1.5</v>
      </c>
      <c r="H90" s="2">
        <v>16.690000000000001</v>
      </c>
      <c r="I90" s="2">
        <v>6.75</v>
      </c>
      <c r="J90" s="2">
        <v>9.9400000000000013</v>
      </c>
      <c r="K90" s="2">
        <v>9.9400000000000013</v>
      </c>
      <c r="L90" s="2">
        <v>0.93700000000000006</v>
      </c>
    </row>
    <row r="91" spans="1:12" x14ac:dyDescent="0.35">
      <c r="A91" s="2" t="s">
        <v>85</v>
      </c>
      <c r="B91" s="2">
        <v>4.3</v>
      </c>
      <c r="C91" s="2">
        <v>11.16</v>
      </c>
      <c r="D91" s="2">
        <v>13.94</v>
      </c>
      <c r="E91" s="2">
        <v>1.5</v>
      </c>
      <c r="F91" s="2">
        <v>5.17</v>
      </c>
      <c r="G91" s="2">
        <v>0.95</v>
      </c>
      <c r="H91" s="2">
        <v>15.58</v>
      </c>
      <c r="I91" s="2">
        <v>5.68</v>
      </c>
      <c r="J91" s="2">
        <v>9.9</v>
      </c>
      <c r="K91" s="2">
        <v>9.9</v>
      </c>
      <c r="L91" s="2">
        <v>0.93600000000000005</v>
      </c>
    </row>
    <row r="92" spans="1:12" x14ac:dyDescent="0.35">
      <c r="A92" s="2" t="s">
        <v>28</v>
      </c>
      <c r="B92" s="2">
        <v>3.35</v>
      </c>
      <c r="C92" s="2">
        <v>9.76</v>
      </c>
      <c r="D92" s="2">
        <v>11.1</v>
      </c>
      <c r="E92" s="2">
        <v>0.87</v>
      </c>
      <c r="F92" s="2">
        <v>3.37</v>
      </c>
      <c r="G92" s="2">
        <v>0.86</v>
      </c>
      <c r="H92" s="2">
        <v>15.09</v>
      </c>
      <c r="I92" s="2">
        <v>5.38</v>
      </c>
      <c r="J92" s="2">
        <v>9.7100000000000009</v>
      </c>
      <c r="K92" s="2">
        <v>9.7100000000000009</v>
      </c>
      <c r="L92" s="2">
        <v>0.94169999999999998</v>
      </c>
    </row>
    <row r="93" spans="1:12" x14ac:dyDescent="0.35">
      <c r="A93" s="2" t="s">
        <v>65</v>
      </c>
      <c r="B93" s="2">
        <v>3.59</v>
      </c>
      <c r="C93" s="2">
        <v>10.9</v>
      </c>
      <c r="D93" s="2">
        <v>13.22</v>
      </c>
      <c r="E93" s="2">
        <v>3.37</v>
      </c>
      <c r="F93" s="2">
        <v>4.17</v>
      </c>
      <c r="G93" s="2">
        <v>0.77</v>
      </c>
      <c r="H93" s="2">
        <v>13.97</v>
      </c>
      <c r="I93" s="2">
        <v>4.41</v>
      </c>
      <c r="J93" s="2">
        <v>9.56</v>
      </c>
      <c r="K93" s="2">
        <v>9.56</v>
      </c>
      <c r="L93" s="2">
        <v>0.93879999999999997</v>
      </c>
    </row>
    <row r="94" spans="1:12" x14ac:dyDescent="0.35">
      <c r="A94" s="2" t="s">
        <v>47</v>
      </c>
      <c r="B94" s="2">
        <v>2.5099999999999998</v>
      </c>
      <c r="C94" s="2">
        <v>10.19</v>
      </c>
      <c r="D94" s="2">
        <v>10.93</v>
      </c>
      <c r="E94" s="2">
        <v>3.33</v>
      </c>
      <c r="F94" s="2">
        <v>4.37</v>
      </c>
      <c r="G94" s="2">
        <v>0.56000000000000005</v>
      </c>
      <c r="H94" s="2">
        <v>12.69</v>
      </c>
      <c r="I94" s="2">
        <v>4.3899999999999997</v>
      </c>
      <c r="J94" s="2">
        <v>8.3000000000000007</v>
      </c>
      <c r="K94" s="2">
        <v>8.3000000000000007</v>
      </c>
      <c r="L94" s="2">
        <v>0.93769999999999998</v>
      </c>
    </row>
    <row r="95" spans="1:12" x14ac:dyDescent="0.35">
      <c r="A95" s="2" t="s">
        <v>48</v>
      </c>
      <c r="B95" s="2">
        <v>3.43</v>
      </c>
      <c r="C95" s="2">
        <v>9.76</v>
      </c>
      <c r="D95" s="2">
        <v>10.58</v>
      </c>
      <c r="E95" s="2">
        <v>2.3199999999999998</v>
      </c>
      <c r="F95" s="2">
        <v>2.7</v>
      </c>
      <c r="G95" s="2">
        <v>2.3199999999999998</v>
      </c>
      <c r="H95" s="2">
        <v>15.94</v>
      </c>
      <c r="I95" s="2">
        <v>7.66</v>
      </c>
      <c r="J95" s="2">
        <v>8.2799999999999994</v>
      </c>
      <c r="K95" s="2">
        <v>8.2799999999999994</v>
      </c>
      <c r="L95" s="2">
        <v>0.93469999999999998</v>
      </c>
    </row>
    <row r="96" spans="1:12" x14ac:dyDescent="0.35">
      <c r="A96" s="2" t="s">
        <v>81</v>
      </c>
      <c r="B96" s="2">
        <v>3.2</v>
      </c>
      <c r="C96" s="2">
        <v>10.87</v>
      </c>
      <c r="D96" s="2">
        <v>11.15</v>
      </c>
      <c r="E96" s="2">
        <v>2.4700000000000002</v>
      </c>
      <c r="F96" s="2">
        <v>4.9400000000000004</v>
      </c>
      <c r="G96" s="2">
        <v>1.8</v>
      </c>
      <c r="H96" s="2">
        <v>12.79</v>
      </c>
      <c r="I96" s="2">
        <v>4.78</v>
      </c>
      <c r="J96" s="2">
        <v>8.009999999999998</v>
      </c>
      <c r="K96" s="2">
        <v>8.009999999999998</v>
      </c>
      <c r="L96" s="2">
        <v>0.92390000000000005</v>
      </c>
    </row>
    <row r="97" spans="1:12" x14ac:dyDescent="0.35">
      <c r="A97" s="2" t="s">
        <v>61</v>
      </c>
      <c r="B97" s="2">
        <v>4.4000000000000004</v>
      </c>
      <c r="C97" s="2">
        <v>10.65</v>
      </c>
      <c r="D97" s="2">
        <v>9.07</v>
      </c>
      <c r="E97" s="2">
        <v>2.35</v>
      </c>
      <c r="F97" s="2">
        <v>6.41</v>
      </c>
      <c r="G97" s="2">
        <v>2.23</v>
      </c>
      <c r="H97" s="2">
        <v>15.11</v>
      </c>
      <c r="I97" s="2">
        <v>7.82</v>
      </c>
      <c r="J97" s="2">
        <v>7.2899999999999991</v>
      </c>
      <c r="K97" s="2">
        <v>7.2899999999999991</v>
      </c>
      <c r="L97" s="2">
        <v>0.94240000000000002</v>
      </c>
    </row>
    <row r="98" spans="1:12" x14ac:dyDescent="0.35">
      <c r="A98" s="2" t="s">
        <v>99</v>
      </c>
      <c r="B98" s="2">
        <v>1.88</v>
      </c>
      <c r="C98" s="2">
        <v>11.56</v>
      </c>
      <c r="D98" s="2">
        <v>10.92</v>
      </c>
      <c r="E98" s="2">
        <v>6.57</v>
      </c>
      <c r="F98" s="2">
        <v>7.78</v>
      </c>
      <c r="G98" s="2">
        <v>2.39</v>
      </c>
      <c r="H98" s="2">
        <v>15.03</v>
      </c>
      <c r="I98" s="2">
        <v>7.75</v>
      </c>
      <c r="J98" s="2">
        <v>7.2799999999999994</v>
      </c>
      <c r="K98" s="2">
        <v>7.2799999999999994</v>
      </c>
      <c r="L98" s="2">
        <v>0.92090000000000005</v>
      </c>
    </row>
    <row r="99" spans="1:12" x14ac:dyDescent="0.35">
      <c r="A99" s="2" t="s">
        <v>31</v>
      </c>
      <c r="B99" s="2">
        <v>0</v>
      </c>
      <c r="C99" s="2">
        <v>0</v>
      </c>
      <c r="D99" s="2">
        <v>0</v>
      </c>
      <c r="E99" s="2">
        <v>0</v>
      </c>
      <c r="F99" s="2">
        <v>4.0999999999999996</v>
      </c>
      <c r="G99" s="2">
        <v>1.2</v>
      </c>
      <c r="H99" s="2">
        <v>0.67</v>
      </c>
      <c r="I99" s="2">
        <v>3.51</v>
      </c>
      <c r="J99" s="2">
        <v>-2.84</v>
      </c>
      <c r="K99" s="2">
        <v>2.84</v>
      </c>
      <c r="L99" s="2">
        <v>-1.8655999999999999</v>
      </c>
    </row>
    <row r="100" spans="1:12" x14ac:dyDescent="0.35">
      <c r="A100" s="2" t="s">
        <v>44</v>
      </c>
      <c r="B100" s="2">
        <v>0</v>
      </c>
      <c r="C100" s="2">
        <v>4.0999999999999996</v>
      </c>
      <c r="D100" s="2">
        <v>7.83</v>
      </c>
      <c r="E100" s="2">
        <v>6.04</v>
      </c>
      <c r="F100" s="2">
        <v>5.26</v>
      </c>
      <c r="G100" s="2">
        <v>0.63</v>
      </c>
      <c r="H100" s="2">
        <v>6.32</v>
      </c>
      <c r="I100" s="2">
        <v>4.1500000000000004</v>
      </c>
      <c r="J100" s="2">
        <v>2.17</v>
      </c>
      <c r="K100" s="2">
        <v>2.17</v>
      </c>
      <c r="L100" s="2">
        <v>0.94179999999999997</v>
      </c>
    </row>
    <row r="101" spans="1:12" x14ac:dyDescent="0.35">
      <c r="A101" s="2" t="s">
        <v>104</v>
      </c>
      <c r="B101" s="2">
        <v>0</v>
      </c>
      <c r="C101" s="2">
        <v>4.0999999999999996</v>
      </c>
      <c r="D101" s="2">
        <v>7.83</v>
      </c>
      <c r="E101" s="2">
        <v>6.04</v>
      </c>
      <c r="F101" s="2">
        <v>5.26</v>
      </c>
      <c r="G101" s="2">
        <v>1.73</v>
      </c>
      <c r="H101" s="2">
        <v>6.32</v>
      </c>
      <c r="I101" s="2">
        <v>4.1500000000000004</v>
      </c>
      <c r="J101" s="2">
        <v>2.17</v>
      </c>
      <c r="K101" s="2">
        <v>2.17</v>
      </c>
      <c r="L101" s="2">
        <v>0.94179999999999997</v>
      </c>
    </row>
    <row r="102" spans="1:12" x14ac:dyDescent="0.35">
      <c r="A102" s="2" t="s">
        <v>64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5.84</v>
      </c>
      <c r="H102" s="2">
        <v>0</v>
      </c>
      <c r="I102" s="2">
        <v>1.82</v>
      </c>
      <c r="J102" s="2">
        <v>-1.82</v>
      </c>
      <c r="K102" s="2">
        <v>1.82</v>
      </c>
      <c r="L102" s="2">
        <v>-0.113</v>
      </c>
    </row>
    <row r="103" spans="1:12" x14ac:dyDescent="0.35">
      <c r="A103" s="2" t="s">
        <v>36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1.55</v>
      </c>
      <c r="H103" s="2">
        <v>0</v>
      </c>
      <c r="I103" s="2">
        <v>1.17</v>
      </c>
      <c r="J103" s="2">
        <v>-1.17</v>
      </c>
      <c r="K103" s="2">
        <v>1.17</v>
      </c>
      <c r="L103" s="2">
        <v>-0.29930000000000001</v>
      </c>
    </row>
    <row r="104" spans="1:12" x14ac:dyDescent="0.35">
      <c r="A104" s="2" t="s">
        <v>7</v>
      </c>
      <c r="B104" s="2">
        <v>0</v>
      </c>
      <c r="C104" s="2">
        <v>0</v>
      </c>
      <c r="D104" s="2">
        <v>0.55000000000000004</v>
      </c>
      <c r="E104" s="2">
        <v>2.2799999999999998</v>
      </c>
      <c r="F104" s="2">
        <v>2.5099999999999998</v>
      </c>
      <c r="G104" s="2">
        <v>2.62</v>
      </c>
      <c r="H104" s="2">
        <v>2.77</v>
      </c>
      <c r="I104" s="2">
        <v>3.67</v>
      </c>
      <c r="J104" s="2">
        <v>-0.89999999999999991</v>
      </c>
      <c r="K104" s="2">
        <v>0.89999999999999991</v>
      </c>
      <c r="L104" s="2">
        <v>-2.1861000000000002</v>
      </c>
    </row>
  </sheetData>
  <autoFilter ref="A1:L104" xr:uid="{CDF34DA4-C6EA-4593-B988-6F5C81F56E45}">
    <sortState xmlns:xlrd2="http://schemas.microsoft.com/office/spreadsheetml/2017/richdata2" ref="A2:L104">
      <sortCondition descending="1" ref="K1:K10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Volatility by City and Year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Carin Gunawan</cp:lastModifiedBy>
  <dcterms:created xsi:type="dcterms:W3CDTF">2025-11-12T16:41:32Z</dcterms:created>
  <dcterms:modified xsi:type="dcterms:W3CDTF">2025-11-16T10:25:57Z</dcterms:modified>
</cp:coreProperties>
</file>