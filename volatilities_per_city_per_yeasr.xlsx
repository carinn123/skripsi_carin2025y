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SUS\skripsi_carin\"/>
    </mc:Choice>
  </mc:AlternateContent>
  <xr:revisionPtr revIDLastSave="0" documentId="13_ncr:1_{662DD537-FD69-4317-8B1B-6B92BD93242F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Volatility by City and Year" sheetId="1" r:id="rId1"/>
    <sheet name="Sheet1" sheetId="2" r:id="rId2"/>
  </sheets>
  <definedNames>
    <definedName name="_xlnm._FilterDatabase" localSheetId="1" hidden="1">Sheet1!$A$1:$L$104</definedName>
    <definedName name="_xlnm._FilterDatabase" localSheetId="0" hidden="1">'Volatility by City and Year'!$A$1:$K$104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 a="1"/>
  <c r="L3" i="1" s="1"/>
  <c r="L4" i="1" a="1"/>
  <c r="L4" i="1" s="1"/>
  <c r="L5" i="1" a="1"/>
  <c r="L5" i="1"/>
  <c r="L6" i="1" a="1"/>
  <c r="L6" i="1"/>
  <c r="L7" i="1" a="1"/>
  <c r="L7" i="1"/>
  <c r="L8" i="1" a="1"/>
  <c r="L8" i="1" s="1"/>
  <c r="L9" i="1" a="1"/>
  <c r="L9" i="1"/>
  <c r="L10" i="1" a="1"/>
  <c r="L10" i="1"/>
  <c r="L11" i="1" a="1"/>
  <c r="L11" i="1" s="1"/>
  <c r="L12" i="1" a="1"/>
  <c r="L12" i="1" s="1"/>
  <c r="L13" i="1" a="1"/>
  <c r="L13" i="1"/>
  <c r="L14" i="1" a="1"/>
  <c r="L14" i="1"/>
  <c r="L15" i="1" a="1"/>
  <c r="L15" i="1"/>
  <c r="L16" i="1" a="1"/>
  <c r="L16" i="1" s="1"/>
  <c r="L17" i="1" a="1"/>
  <c r="L17" i="1"/>
  <c r="L18" i="1" a="1"/>
  <c r="L18" i="1"/>
  <c r="L19" i="1" a="1"/>
  <c r="L19" i="1" s="1"/>
  <c r="L20" i="1" a="1"/>
  <c r="L20" i="1" s="1"/>
  <c r="L21" i="1" a="1"/>
  <c r="L21" i="1"/>
  <c r="L22" i="1" a="1"/>
  <c r="L22" i="1"/>
  <c r="L23" i="1" a="1"/>
  <c r="L23" i="1"/>
  <c r="L24" i="1" a="1"/>
  <c r="L24" i="1" s="1"/>
  <c r="L25" i="1" a="1"/>
  <c r="L25" i="1"/>
  <c r="L26" i="1" a="1"/>
  <c r="L26" i="1"/>
  <c r="L27" i="1" a="1"/>
  <c r="L27" i="1" s="1"/>
  <c r="L28" i="1" a="1"/>
  <c r="L28" i="1" s="1"/>
  <c r="L29" i="1" a="1"/>
  <c r="L29" i="1"/>
  <c r="L30" i="1" a="1"/>
  <c r="L30" i="1"/>
  <c r="L31" i="1" a="1"/>
  <c r="L31" i="1"/>
  <c r="L32" i="1" a="1"/>
  <c r="L32" i="1" s="1"/>
  <c r="L33" i="1" a="1"/>
  <c r="L33" i="1"/>
  <c r="L34" i="1" a="1"/>
  <c r="L34" i="1"/>
  <c r="L35" i="1" a="1"/>
  <c r="L35" i="1" s="1"/>
  <c r="L36" i="1" a="1"/>
  <c r="L36" i="1" s="1"/>
  <c r="L37" i="1" a="1"/>
  <c r="L37" i="1"/>
  <c r="L38" i="1" a="1"/>
  <c r="L38" i="1"/>
  <c r="L39" i="1" a="1"/>
  <c r="L39" i="1"/>
  <c r="L40" i="1" a="1"/>
  <c r="L40" i="1" s="1"/>
  <c r="L41" i="1" a="1"/>
  <c r="L41" i="1"/>
  <c r="L42" i="1" a="1"/>
  <c r="L42" i="1"/>
  <c r="L43" i="1" a="1"/>
  <c r="L43" i="1" s="1"/>
  <c r="L44" i="1" a="1"/>
  <c r="L44" i="1" s="1"/>
  <c r="L45" i="1" a="1"/>
  <c r="L45" i="1"/>
  <c r="L46" i="1" a="1"/>
  <c r="L46" i="1"/>
  <c r="L47" i="1" a="1"/>
  <c r="L47" i="1"/>
  <c r="L48" i="1" a="1"/>
  <c r="L48" i="1" s="1"/>
  <c r="L49" i="1" a="1"/>
  <c r="L49" i="1"/>
  <c r="L50" i="1" a="1"/>
  <c r="L50" i="1"/>
  <c r="L51" i="1" a="1"/>
  <c r="L51" i="1" s="1"/>
  <c r="L52" i="1" a="1"/>
  <c r="L52" i="1" s="1"/>
  <c r="L53" i="1" a="1"/>
  <c r="L53" i="1"/>
  <c r="L54" i="1" a="1"/>
  <c r="L54" i="1"/>
  <c r="L55" i="1" a="1"/>
  <c r="L55" i="1"/>
  <c r="L56" i="1" a="1"/>
  <c r="L56" i="1" s="1"/>
  <c r="L57" i="1" a="1"/>
  <c r="L57" i="1"/>
  <c r="L58" i="1" a="1"/>
  <c r="L58" i="1"/>
  <c r="L59" i="1" a="1"/>
  <c r="L59" i="1" s="1"/>
  <c r="L60" i="1" a="1"/>
  <c r="L60" i="1" s="1"/>
  <c r="L61" i="1" a="1"/>
  <c r="L61" i="1"/>
  <c r="L62" i="1" a="1"/>
  <c r="L62" i="1"/>
  <c r="L63" i="1" a="1"/>
  <c r="L63" i="1"/>
  <c r="L64" i="1" a="1"/>
  <c r="L64" i="1" s="1"/>
  <c r="L65" i="1" a="1"/>
  <c r="L65" i="1"/>
  <c r="L66" i="1" a="1"/>
  <c r="L66" i="1"/>
  <c r="L67" i="1" a="1"/>
  <c r="L67" i="1" s="1"/>
  <c r="L68" i="1" a="1"/>
  <c r="L68" i="1" s="1"/>
  <c r="L69" i="1" a="1"/>
  <c r="L69" i="1"/>
  <c r="L70" i="1" a="1"/>
  <c r="L70" i="1"/>
  <c r="L71" i="1" a="1"/>
  <c r="L71" i="1"/>
  <c r="L72" i="1" a="1"/>
  <c r="L72" i="1" s="1"/>
  <c r="L73" i="1" a="1"/>
  <c r="L73" i="1"/>
  <c r="L74" i="1" a="1"/>
  <c r="L74" i="1"/>
  <c r="L75" i="1" a="1"/>
  <c r="L75" i="1" s="1"/>
  <c r="L76" i="1" a="1"/>
  <c r="L76" i="1" s="1"/>
  <c r="L77" i="1" a="1"/>
  <c r="L77" i="1"/>
  <c r="L78" i="1" a="1"/>
  <c r="L78" i="1"/>
  <c r="L79" i="1" a="1"/>
  <c r="L79" i="1"/>
  <c r="L80" i="1" a="1"/>
  <c r="L80" i="1" s="1"/>
  <c r="L81" i="1" a="1"/>
  <c r="L81" i="1"/>
  <c r="L82" i="1" a="1"/>
  <c r="L82" i="1"/>
  <c r="L83" i="1" a="1"/>
  <c r="L83" i="1" s="1"/>
  <c r="L84" i="1" a="1"/>
  <c r="L84" i="1" s="1"/>
  <c r="L85" i="1" a="1"/>
  <c r="L85" i="1"/>
  <c r="L86" i="1" a="1"/>
  <c r="L86" i="1"/>
  <c r="L87" i="1" a="1"/>
  <c r="L87" i="1"/>
  <c r="L88" i="1" a="1"/>
  <c r="L88" i="1" s="1"/>
  <c r="L89" i="1" a="1"/>
  <c r="L89" i="1"/>
  <c r="L90" i="1" a="1"/>
  <c r="L90" i="1"/>
  <c r="L91" i="1" a="1"/>
  <c r="L91" i="1" s="1"/>
  <c r="L92" i="1" a="1"/>
  <c r="L92" i="1" s="1"/>
  <c r="L93" i="1" a="1"/>
  <c r="L93" i="1"/>
  <c r="L94" i="1" a="1"/>
  <c r="L94" i="1"/>
  <c r="L95" i="1" a="1"/>
  <c r="L95" i="1"/>
  <c r="L96" i="1" a="1"/>
  <c r="L96" i="1" s="1"/>
  <c r="L97" i="1" a="1"/>
  <c r="L97" i="1"/>
  <c r="L98" i="1" a="1"/>
  <c r="L98" i="1"/>
  <c r="L99" i="1" a="1"/>
  <c r="L99" i="1" s="1"/>
  <c r="L100" i="1" a="1"/>
  <c r="L100" i="1" s="1"/>
  <c r="L101" i="1" a="1"/>
  <c r="L101" i="1"/>
  <c r="L102" i="1" a="1"/>
  <c r="L102" i="1"/>
  <c r="L103" i="1" a="1"/>
  <c r="L103" i="1"/>
  <c r="L104" i="1" a="1"/>
  <c r="L104" i="1" s="1"/>
  <c r="L2" i="1" a="1"/>
  <c r="L2" i="1" s="1"/>
  <c r="K72" i="1"/>
  <c r="K48" i="1"/>
  <c r="K93" i="1"/>
  <c r="K28" i="1"/>
  <c r="K66" i="1"/>
  <c r="J62" i="1"/>
  <c r="K62" i="1" s="1"/>
  <c r="J63" i="1"/>
  <c r="K63" i="1" s="1"/>
  <c r="J14" i="1"/>
  <c r="K14" i="1" s="1"/>
  <c r="J73" i="1"/>
  <c r="K73" i="1" s="1"/>
  <c r="J104" i="1"/>
  <c r="K104" i="1" s="1"/>
  <c r="J39" i="1"/>
  <c r="K39" i="1" s="1"/>
  <c r="J71" i="1"/>
  <c r="K71" i="1" s="1"/>
  <c r="J53" i="1"/>
  <c r="K53" i="1" s="1"/>
  <c r="J88" i="1"/>
  <c r="K88" i="1" s="1"/>
  <c r="J2" i="1"/>
  <c r="K2" i="1" s="1"/>
  <c r="J74" i="1"/>
  <c r="K74" i="1" s="1"/>
  <c r="J61" i="1"/>
  <c r="K61" i="1" s="1"/>
  <c r="J49" i="1"/>
  <c r="K49" i="1" s="1"/>
  <c r="J38" i="1"/>
  <c r="K38" i="1" s="1"/>
  <c r="J86" i="1"/>
  <c r="K86" i="1" s="1"/>
  <c r="J70" i="1"/>
  <c r="K70" i="1" s="1"/>
  <c r="J55" i="1"/>
  <c r="K55" i="1" s="1"/>
  <c r="J42" i="1"/>
  <c r="K42" i="1" s="1"/>
  <c r="J31" i="1"/>
  <c r="K31" i="1" s="1"/>
  <c r="J68" i="1"/>
  <c r="K68" i="1" s="1"/>
  <c r="J89" i="1"/>
  <c r="K89" i="1" s="1"/>
  <c r="J56" i="1"/>
  <c r="K56" i="1" s="1"/>
  <c r="J80" i="1"/>
  <c r="K80" i="1" s="1"/>
  <c r="J83" i="1"/>
  <c r="K83" i="1" s="1"/>
  <c r="J35" i="1"/>
  <c r="K35" i="1" s="1"/>
  <c r="J92" i="1"/>
  <c r="K92" i="1" s="1"/>
  <c r="J87" i="1"/>
  <c r="K87" i="1" s="1"/>
  <c r="J12" i="1"/>
  <c r="K12" i="1" s="1"/>
  <c r="J99" i="1"/>
  <c r="K99" i="1" s="1"/>
  <c r="J75" i="1"/>
  <c r="K75" i="1" s="1"/>
  <c r="J72" i="1"/>
  <c r="J48" i="1"/>
  <c r="J10" i="1"/>
  <c r="K10" i="1" s="1"/>
  <c r="J103" i="1"/>
  <c r="K103" i="1" s="1"/>
  <c r="J84" i="1"/>
  <c r="K84" i="1" s="1"/>
  <c r="J9" i="1"/>
  <c r="K9" i="1" s="1"/>
  <c r="J82" i="1"/>
  <c r="K82" i="1" s="1"/>
  <c r="J78" i="1"/>
  <c r="K78" i="1" s="1"/>
  <c r="J3" i="1"/>
  <c r="K3" i="1" s="1"/>
  <c r="J30" i="1"/>
  <c r="K30" i="1" s="1"/>
  <c r="J24" i="1"/>
  <c r="K24" i="1" s="1"/>
  <c r="J100" i="1"/>
  <c r="K100" i="1" s="1"/>
  <c r="J90" i="1"/>
  <c r="K90" i="1" s="1"/>
  <c r="J33" i="1"/>
  <c r="K33" i="1" s="1"/>
  <c r="J94" i="1"/>
  <c r="K94" i="1" s="1"/>
  <c r="J95" i="1"/>
  <c r="K95" i="1" s="1"/>
  <c r="J59" i="1"/>
  <c r="K59" i="1" s="1"/>
  <c r="J22" i="1"/>
  <c r="K22" i="1" s="1"/>
  <c r="J43" i="1"/>
  <c r="K43" i="1" s="1"/>
  <c r="J20" i="1"/>
  <c r="K20" i="1" s="1"/>
  <c r="J60" i="1"/>
  <c r="K60" i="1" s="1"/>
  <c r="J27" i="1"/>
  <c r="K27" i="1" s="1"/>
  <c r="J81" i="1"/>
  <c r="K81" i="1" s="1"/>
  <c r="J6" i="1"/>
  <c r="K6" i="1" s="1"/>
  <c r="J32" i="1"/>
  <c r="K32" i="1" s="1"/>
  <c r="J13" i="1"/>
  <c r="K13" i="1" s="1"/>
  <c r="J47" i="1"/>
  <c r="K47" i="1" s="1"/>
  <c r="J5" i="1"/>
  <c r="K5" i="1" s="1"/>
  <c r="J97" i="1"/>
  <c r="K97" i="1" s="1"/>
  <c r="J57" i="1"/>
  <c r="K57" i="1" s="1"/>
  <c r="J23" i="1"/>
  <c r="K23" i="1" s="1"/>
  <c r="J102" i="1"/>
  <c r="K102" i="1" s="1"/>
  <c r="J93" i="1"/>
  <c r="J28" i="1"/>
  <c r="J15" i="1"/>
  <c r="K15" i="1" s="1"/>
  <c r="J7" i="1"/>
  <c r="K7" i="1" s="1"/>
  <c r="J29" i="1"/>
  <c r="K29" i="1" s="1"/>
  <c r="J25" i="1"/>
  <c r="K25" i="1" s="1"/>
  <c r="J58" i="1"/>
  <c r="K58" i="1" s="1"/>
  <c r="J64" i="1"/>
  <c r="K64" i="1" s="1"/>
  <c r="J77" i="1"/>
  <c r="K77" i="1" s="1"/>
  <c r="J4" i="1"/>
  <c r="K4" i="1" s="1"/>
  <c r="J44" i="1"/>
  <c r="K44" i="1" s="1"/>
  <c r="J66" i="1"/>
  <c r="J18" i="1"/>
  <c r="K18" i="1" s="1"/>
  <c r="J19" i="1"/>
  <c r="K19" i="1" s="1"/>
  <c r="J69" i="1"/>
  <c r="K69" i="1" s="1"/>
  <c r="J37" i="1"/>
  <c r="K37" i="1" s="1"/>
  <c r="J96" i="1"/>
  <c r="K96" i="1" s="1"/>
  <c r="J54" i="1"/>
  <c r="K54" i="1" s="1"/>
  <c r="J8" i="1"/>
  <c r="K8" i="1" s="1"/>
  <c r="J36" i="1"/>
  <c r="K36" i="1" s="1"/>
  <c r="J91" i="1"/>
  <c r="K91" i="1" s="1"/>
  <c r="J76" i="1"/>
  <c r="K76" i="1" s="1"/>
  <c r="J21" i="1"/>
  <c r="K21" i="1" s="1"/>
  <c r="J41" i="1"/>
  <c r="K41" i="1" s="1"/>
  <c r="J85" i="1"/>
  <c r="K85" i="1" s="1"/>
  <c r="J45" i="1"/>
  <c r="K45" i="1" s="1"/>
  <c r="J46" i="1"/>
  <c r="K46" i="1" s="1"/>
  <c r="J52" i="1"/>
  <c r="K52" i="1" s="1"/>
  <c r="J67" i="1"/>
  <c r="K67" i="1" s="1"/>
  <c r="J50" i="1"/>
  <c r="K50" i="1" s="1"/>
  <c r="J51" i="1"/>
  <c r="K51" i="1" s="1"/>
  <c r="J17" i="1"/>
  <c r="K17" i="1" s="1"/>
  <c r="J65" i="1"/>
  <c r="K65" i="1" s="1"/>
  <c r="J79" i="1"/>
  <c r="K79" i="1" s="1"/>
  <c r="J98" i="1"/>
  <c r="K98" i="1" s="1"/>
  <c r="J11" i="1"/>
  <c r="K11" i="1" s="1"/>
  <c r="J16" i="1"/>
  <c r="K16" i="1" s="1"/>
  <c r="J40" i="1"/>
  <c r="K40" i="1" s="1"/>
  <c r="J26" i="1"/>
  <c r="K26" i="1" s="1"/>
  <c r="J101" i="1"/>
  <c r="K101" i="1" s="1"/>
  <c r="J34" i="1"/>
  <c r="K3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<sst xmlns="http://schemas.openxmlformats.org/spreadsheetml/2006/main" count="320" uniqueCount="111">
  <si>
    <t>Full Period (2020-01-01 to 2024-07-01)</t>
  </si>
  <si>
    <t>Test Period (2024-07-01 to 2025-07-01)</t>
  </si>
  <si>
    <t>Kota Maluku</t>
  </si>
  <si>
    <t>Kota Balikpapan</t>
  </si>
  <si>
    <t>Kota Banda Aceh</t>
  </si>
  <si>
    <t>Kota Bandar Lampung</t>
  </si>
  <si>
    <t>Kota Bandung</t>
  </si>
  <si>
    <t>Kota Banggai</t>
  </si>
  <si>
    <t>Kota Banjarmasin</t>
  </si>
  <si>
    <t>Kab. Banyumas</t>
  </si>
  <si>
    <t>Kab. Banyuwangi</t>
  </si>
  <si>
    <t>Kota Batam</t>
  </si>
  <si>
    <t>Kota Bau - Bau</t>
  </si>
  <si>
    <t>Kota Bekasi</t>
  </si>
  <si>
    <t>Kota Bengkulu</t>
  </si>
  <si>
    <t>Kota Bima</t>
  </si>
  <si>
    <t>Kota Blitar</t>
  </si>
  <si>
    <t>Kota Bogor</t>
  </si>
  <si>
    <t>Kota Bontang</t>
  </si>
  <si>
    <t>Kab. Boyolali</t>
  </si>
  <si>
    <t>Kab. Bulukomba</t>
  </si>
  <si>
    <t>Kab. Bulungan</t>
  </si>
  <si>
    <t>Kab. Bungo</t>
  </si>
  <si>
    <t>Kab. Cilacap</t>
  </si>
  <si>
    <t>Kota Cilegon</t>
  </si>
  <si>
    <t>Kota Cirebon</t>
  </si>
  <si>
    <t>Kab. Cirebon</t>
  </si>
  <si>
    <t>Kota Denpasar</t>
  </si>
  <si>
    <t>Kota Depok</t>
  </si>
  <si>
    <t>Kota Dumai</t>
  </si>
  <si>
    <t>Kota Gorontalo</t>
  </si>
  <si>
    <t>Kab. Gorontalo</t>
  </si>
  <si>
    <t>Kota Gunung Sitoli</t>
  </si>
  <si>
    <t>Kota Jakarta Pusat</t>
  </si>
  <si>
    <t>Kota Jambi</t>
  </si>
  <si>
    <t>Kota Jayapura</t>
  </si>
  <si>
    <t>Kab. Jayawijaya</t>
  </si>
  <si>
    <t>Kab. Jember</t>
  </si>
  <si>
    <t>Kab. Sintang</t>
  </si>
  <si>
    <t>Kab. Karanganyar</t>
  </si>
  <si>
    <t>Kota Kediri</t>
  </si>
  <si>
    <t>Kota Kendari</t>
  </si>
  <si>
    <t>Kab.Klaten</t>
  </si>
  <si>
    <t>Kab Kotabaru</t>
  </si>
  <si>
    <t>Kotamobagu</t>
  </si>
  <si>
    <t>Kab. Kudus</t>
  </si>
  <si>
    <t>Kota Kupang</t>
  </si>
  <si>
    <t>Kota Lhokseumawe</t>
  </si>
  <si>
    <t>Kab. Lombok Timur</t>
  </si>
  <si>
    <t>Kota Lubuk Linggau</t>
  </si>
  <si>
    <t>Kota Madiun</t>
  </si>
  <si>
    <t>Kab. Majene</t>
  </si>
  <si>
    <t>Kota Makassar</t>
  </si>
  <si>
    <t>Kota Malang</t>
  </si>
  <si>
    <t>Kota Mamuju</t>
  </si>
  <si>
    <t>Kota Manado</t>
  </si>
  <si>
    <t>Kab. Manokwari</t>
  </si>
  <si>
    <t>Kota Mataram</t>
  </si>
  <si>
    <t>Kota Maumere</t>
  </si>
  <si>
    <t>Kota Medan</t>
  </si>
  <si>
    <t>Kab. Merauke</t>
  </si>
  <si>
    <t>Kota Metro</t>
  </si>
  <si>
    <t>Kota Meulaboh</t>
  </si>
  <si>
    <t>Kab. Mimika</t>
  </si>
  <si>
    <t>Kab. Nabire</t>
  </si>
  <si>
    <t>Kota Padang</t>
  </si>
  <si>
    <t>Kota Padang Sidempuan</t>
  </si>
  <si>
    <t>Kota Palangkaraya</t>
  </si>
  <si>
    <t>Kota Palembang</t>
  </si>
  <si>
    <t>Kota Palu</t>
  </si>
  <si>
    <t>Kota Pangkalpinang</t>
  </si>
  <si>
    <t>Kota Pare -Pare</t>
  </si>
  <si>
    <t>Kota Pekanbaru</t>
  </si>
  <si>
    <t>Kota Pematang Siantar</t>
  </si>
  <si>
    <t>Kab. Polewali Mandar</t>
  </si>
  <si>
    <t>Kota Pontianak</t>
  </si>
  <si>
    <t>Kota Probolinggo</t>
  </si>
  <si>
    <t>Kota Samarinda</t>
  </si>
  <si>
    <t>Kota Sampit</t>
  </si>
  <si>
    <t>Kota Semarang</t>
  </si>
  <si>
    <t>Kota Serang</t>
  </si>
  <si>
    <t>Kota Sibolga</t>
  </si>
  <si>
    <t>Kota Singkawang</t>
  </si>
  <si>
    <t>Kota Sorong</t>
  </si>
  <si>
    <t>Kab Sragen</t>
  </si>
  <si>
    <t>Kota Sukabumi</t>
  </si>
  <si>
    <t>Kab. Sukoharjo</t>
  </si>
  <si>
    <t>Kab. Sumba Timur</t>
  </si>
  <si>
    <t>Kab. Sumbawa</t>
  </si>
  <si>
    <t>Kab. Sumenep</t>
  </si>
  <si>
    <t>Kota Surabaya</t>
  </si>
  <si>
    <t>Kota Surakarta (Solo)</t>
  </si>
  <si>
    <t>Kota Tanggerang</t>
  </si>
  <si>
    <t>Kota Tanjung</t>
  </si>
  <si>
    <t>Kota Tanjung Pandan</t>
  </si>
  <si>
    <t>Kota Tanjung Pinang</t>
  </si>
  <si>
    <t>Kota Tarakan</t>
  </si>
  <si>
    <t>Kota Tasikmalaya</t>
  </si>
  <si>
    <t>Kota Sumenep</t>
  </si>
  <si>
    <t>Kota Tembilahan</t>
  </si>
  <si>
    <t>Kota Ternate</t>
  </si>
  <si>
    <t>Kota Tual</t>
  </si>
  <si>
    <t>Kota Watampone</t>
  </si>
  <si>
    <t>Kab. Wonogiri</t>
  </si>
  <si>
    <t>Kota Yogyakarta</t>
  </si>
  <si>
    <t>selisih</t>
  </si>
  <si>
    <t>abs</t>
  </si>
  <si>
    <t>Nama kota</t>
  </si>
  <si>
    <t>Kota</t>
  </si>
  <si>
    <t>R2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</si>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</sst>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4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92"/>
  <sheetViews>
    <sheetView topLeftCell="I95" workbookViewId="0">
      <selection activeCell="L104" sqref="A1:L104"/>
    </sheetView>
  </sheetViews>
  <sheetFormatPr defaultRowHeight="14.5" x14ac:dyDescent="0.35"/>
  <cols>
    <col min="1" max="1" width="32.6328125" bestFit="1" customWidth="1"/>
    <col min="8" max="8" width="33.08984375" bestFit="1" customWidth="1"/>
    <col min="9" max="9" width="33.81640625" bestFit="1" customWidth="1"/>
    <col min="14" max="14" width="21.1796875" bestFit="1" customWidth="1"/>
  </cols>
  <sheetData>
    <row r="1" spans="1:15" ht="15" thickBot="1" x14ac:dyDescent="0.4">
      <c r="A1" s="3" t="s">
        <v>107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 t="s">
        <v>0</v>
      </c>
      <c r="I1" s="1" t="s">
        <v>1</v>
      </c>
      <c r="J1" s="3" t="s">
        <v>105</v>
      </c>
      <c r="K1" s="1" t="s">
        <v>106</v>
      </c>
      <c r="L1" s="1" t="s">
        <v>109</v>
      </c>
      <c r="N1" s="6" t="s">
        <v>108</v>
      </c>
      <c r="O1" s="7" t="s">
        <v>109</v>
      </c>
    </row>
    <row r="2" spans="1:15" ht="15" thickBot="1" x14ac:dyDescent="0.4">
      <c r="A2" s="1" t="s">
        <v>12</v>
      </c>
      <c r="B2" s="3">
        <v>1.59</v>
      </c>
      <c r="C2" s="3">
        <v>8.3800000000000008</v>
      </c>
      <c r="D2" s="3">
        <v>33.08</v>
      </c>
      <c r="E2" s="3">
        <v>1.69</v>
      </c>
      <c r="F2" s="3">
        <v>1.64</v>
      </c>
      <c r="G2" s="3">
        <v>3.79</v>
      </c>
      <c r="H2" s="3">
        <v>34.21</v>
      </c>
      <c r="I2" s="3">
        <v>4.83</v>
      </c>
      <c r="J2" s="3">
        <f t="shared" ref="J2:J33" si="0">(H2-I2)</f>
        <v>29.380000000000003</v>
      </c>
      <c r="K2" s="3">
        <f t="shared" ref="K2:K33" si="1">ABS(J2)</f>
        <v>29.380000000000003</v>
      </c>
      <c r="L2" s="2" cm="1">
        <f t="array" ref="L2">VLOOKUP(A2,$N$1:$O$100,{2},0)</f>
        <v>0.84630000000000005</v>
      </c>
      <c r="N2" s="8" t="s">
        <v>17</v>
      </c>
      <c r="O2" s="9">
        <v>0.94350000000000001</v>
      </c>
    </row>
    <row r="3" spans="1:15" ht="15" thickBot="1" x14ac:dyDescent="0.4">
      <c r="A3" s="1" t="s">
        <v>41</v>
      </c>
      <c r="B3" s="3">
        <v>1.66</v>
      </c>
      <c r="C3" s="3">
        <v>8.27</v>
      </c>
      <c r="D3" s="3">
        <v>30.24</v>
      </c>
      <c r="E3" s="3">
        <v>1.1000000000000001</v>
      </c>
      <c r="F3" s="3">
        <v>1.35</v>
      </c>
      <c r="G3" s="3">
        <v>0.67</v>
      </c>
      <c r="H3" s="3">
        <v>28.92</v>
      </c>
      <c r="I3" s="3">
        <v>2.5</v>
      </c>
      <c r="J3" s="3">
        <f t="shared" si="0"/>
        <v>26.42</v>
      </c>
      <c r="K3" s="3">
        <f t="shared" si="1"/>
        <v>26.42</v>
      </c>
      <c r="L3" s="2" cm="1">
        <f t="array" ref="L3">VLOOKUP(A3,$N$1:$O$100,{2},0)</f>
        <v>0.88859999999999995</v>
      </c>
      <c r="N3" s="8" t="s">
        <v>89</v>
      </c>
      <c r="O3" s="9">
        <v>0.9425</v>
      </c>
    </row>
    <row r="4" spans="1:15" ht="15" thickBot="1" x14ac:dyDescent="0.4">
      <c r="A4" s="1" t="s">
        <v>74</v>
      </c>
      <c r="B4" s="3">
        <v>1.44</v>
      </c>
      <c r="C4" s="3">
        <v>6.15</v>
      </c>
      <c r="D4" s="3">
        <v>10.73</v>
      </c>
      <c r="E4" s="3">
        <v>0.22</v>
      </c>
      <c r="F4" s="3">
        <v>1.43</v>
      </c>
      <c r="G4" s="3">
        <v>0</v>
      </c>
      <c r="H4" s="3">
        <v>24.01</v>
      </c>
      <c r="I4" s="3">
        <v>0</v>
      </c>
      <c r="J4" s="3">
        <f t="shared" si="0"/>
        <v>24.01</v>
      </c>
      <c r="K4" s="3">
        <f t="shared" si="1"/>
        <v>24.01</v>
      </c>
      <c r="L4" s="2" cm="1">
        <f t="array" ref="L4">VLOOKUP(A4,$N$1:$O$100,{2},0)</f>
        <v>0</v>
      </c>
      <c r="N4" s="8" t="s">
        <v>61</v>
      </c>
      <c r="O4" s="9">
        <v>0.94240000000000002</v>
      </c>
    </row>
    <row r="5" spans="1:15" ht="15" thickBot="1" x14ac:dyDescent="0.4">
      <c r="A5" s="1" t="s">
        <v>60</v>
      </c>
      <c r="B5" s="3">
        <v>0.68</v>
      </c>
      <c r="C5" s="3">
        <v>7.86</v>
      </c>
      <c r="D5" s="3">
        <v>15</v>
      </c>
      <c r="E5" s="3">
        <v>1.56</v>
      </c>
      <c r="F5" s="3">
        <v>1.47</v>
      </c>
      <c r="G5" s="3">
        <v>1.94</v>
      </c>
      <c r="H5" s="3">
        <v>22.61</v>
      </c>
      <c r="I5" s="3">
        <v>2.2799999999999998</v>
      </c>
      <c r="J5" s="3">
        <f t="shared" si="0"/>
        <v>20.329999999999998</v>
      </c>
      <c r="K5" s="3">
        <f t="shared" si="1"/>
        <v>20.329999999999998</v>
      </c>
      <c r="L5" s="2" cm="1">
        <f t="array" ref="L5">VLOOKUP(A5,$N$1:$O$100,{2},0)</f>
        <v>0.92459999999999998</v>
      </c>
      <c r="N5" s="8" t="s">
        <v>104</v>
      </c>
      <c r="O5" s="9">
        <v>0.94179999999999997</v>
      </c>
    </row>
    <row r="6" spans="1:15" ht="15" thickBot="1" x14ac:dyDescent="0.4">
      <c r="A6" s="1" t="s">
        <v>56</v>
      </c>
      <c r="B6" s="3">
        <v>1.19</v>
      </c>
      <c r="C6" s="3">
        <v>8.8800000000000008</v>
      </c>
      <c r="D6" s="3">
        <v>14.9</v>
      </c>
      <c r="E6" s="3">
        <v>1.43</v>
      </c>
      <c r="F6" s="3">
        <v>4.96</v>
      </c>
      <c r="G6" s="3">
        <v>1.98</v>
      </c>
      <c r="H6" s="3">
        <v>23.69</v>
      </c>
      <c r="I6" s="3">
        <v>3.46</v>
      </c>
      <c r="J6" s="3">
        <f t="shared" si="0"/>
        <v>20.23</v>
      </c>
      <c r="K6" s="3">
        <f t="shared" si="1"/>
        <v>20.23</v>
      </c>
      <c r="L6" s="2" cm="1">
        <f t="array" ref="L6">VLOOKUP(A6,$N$1:$O$100,{2},0)</f>
        <v>0.71730000000000005</v>
      </c>
      <c r="N6" s="8" t="s">
        <v>44</v>
      </c>
      <c r="O6" s="9">
        <v>0.94179999999999997</v>
      </c>
    </row>
    <row r="7" spans="1:15" ht="15" thickBot="1" x14ac:dyDescent="0.4">
      <c r="A7" s="1" t="s">
        <v>68</v>
      </c>
      <c r="B7" s="3">
        <v>1.19</v>
      </c>
      <c r="C7" s="3">
        <v>8.8800000000000008</v>
      </c>
      <c r="D7" s="3">
        <v>14.9</v>
      </c>
      <c r="E7" s="3">
        <v>1.43</v>
      </c>
      <c r="F7" s="3">
        <v>4.96</v>
      </c>
      <c r="G7" s="3">
        <v>5.87</v>
      </c>
      <c r="H7" s="3">
        <v>23.69</v>
      </c>
      <c r="I7" s="3">
        <v>3.46</v>
      </c>
      <c r="J7" s="3">
        <f t="shared" si="0"/>
        <v>20.23</v>
      </c>
      <c r="K7" s="3">
        <f t="shared" si="1"/>
        <v>20.23</v>
      </c>
      <c r="L7" s="2" cm="1">
        <f t="array" ref="L7">VLOOKUP(A7,$N$1:$O$100,{2},0)</f>
        <v>0.71730000000000005</v>
      </c>
      <c r="N7" s="8" t="s">
        <v>28</v>
      </c>
      <c r="O7" s="9">
        <v>0.94169999999999998</v>
      </c>
    </row>
    <row r="8" spans="1:15" ht="15" thickBot="1" x14ac:dyDescent="0.4">
      <c r="A8" s="1" t="s">
        <v>83</v>
      </c>
      <c r="B8" s="3">
        <v>17.100000000000001</v>
      </c>
      <c r="C8" s="3">
        <v>9.83</v>
      </c>
      <c r="D8" s="3">
        <v>12.29</v>
      </c>
      <c r="E8" s="3">
        <v>5.09</v>
      </c>
      <c r="F8" s="3">
        <v>1.61</v>
      </c>
      <c r="G8" s="3">
        <v>2.77</v>
      </c>
      <c r="H8" s="3">
        <v>23.37</v>
      </c>
      <c r="I8" s="3">
        <v>3.15</v>
      </c>
      <c r="J8" s="3">
        <f t="shared" si="0"/>
        <v>20.220000000000002</v>
      </c>
      <c r="K8" s="3">
        <f t="shared" si="1"/>
        <v>20.220000000000002</v>
      </c>
      <c r="L8" s="2" cm="1">
        <f t="array" ref="L8">VLOOKUP(A8,$N$1:$O$100,{2},0)</f>
        <v>0.87519999999999998</v>
      </c>
      <c r="N8" s="8" t="s">
        <v>90</v>
      </c>
      <c r="O8" s="9">
        <v>0.94140000000000001</v>
      </c>
    </row>
    <row r="9" spans="1:15" ht="15" thickBot="1" x14ac:dyDescent="0.4">
      <c r="A9" s="1" t="s">
        <v>38</v>
      </c>
      <c r="B9" s="3">
        <v>0</v>
      </c>
      <c r="C9" s="3">
        <v>11.89</v>
      </c>
      <c r="D9" s="3">
        <v>10.38</v>
      </c>
      <c r="E9" s="3">
        <v>2.67</v>
      </c>
      <c r="F9" s="3">
        <v>1.19</v>
      </c>
      <c r="G9" s="3">
        <v>0.87</v>
      </c>
      <c r="H9" s="3">
        <v>19.739999999999998</v>
      </c>
      <c r="I9" s="3">
        <v>0.87</v>
      </c>
      <c r="J9" s="3">
        <f t="shared" si="0"/>
        <v>18.869999999999997</v>
      </c>
      <c r="K9" s="3">
        <f t="shared" si="1"/>
        <v>18.869999999999997</v>
      </c>
      <c r="L9" s="2" cm="1">
        <f t="array" ref="L9">VLOOKUP(A9,$N$1:$O$100,{2},0)</f>
        <v>0.83879999999999999</v>
      </c>
      <c r="N9" s="8" t="s">
        <v>13</v>
      </c>
      <c r="O9" s="9">
        <v>0.94130000000000003</v>
      </c>
    </row>
    <row r="10" spans="1:15" ht="15" thickBot="1" x14ac:dyDescent="0.4">
      <c r="A10" s="1" t="s">
        <v>35</v>
      </c>
      <c r="B10" s="3">
        <v>1.43</v>
      </c>
      <c r="C10" s="3">
        <v>7.33</v>
      </c>
      <c r="D10" s="3">
        <v>18.190000000000001</v>
      </c>
      <c r="E10" s="3">
        <v>0.82</v>
      </c>
      <c r="F10" s="3">
        <v>0.9</v>
      </c>
      <c r="G10" s="3">
        <v>2.21</v>
      </c>
      <c r="H10" s="3">
        <v>21.43</v>
      </c>
      <c r="I10" s="3">
        <v>3.13</v>
      </c>
      <c r="J10" s="3">
        <f t="shared" si="0"/>
        <v>18.3</v>
      </c>
      <c r="K10" s="3">
        <f t="shared" si="1"/>
        <v>18.3</v>
      </c>
      <c r="L10" s="2" cm="1">
        <f t="array" ref="L10">VLOOKUP(A10,$N$1:$O$100,{2},0)</f>
        <v>0.82230000000000003</v>
      </c>
      <c r="N10" s="8" t="s">
        <v>15</v>
      </c>
      <c r="O10" s="9">
        <v>0.94089999999999996</v>
      </c>
    </row>
    <row r="11" spans="1:15" ht="15" thickBot="1" x14ac:dyDescent="0.4">
      <c r="A11" s="1" t="s">
        <v>100</v>
      </c>
      <c r="B11" s="3">
        <v>3.12</v>
      </c>
      <c r="C11" s="3">
        <v>3.74</v>
      </c>
      <c r="D11" s="3">
        <v>9.39</v>
      </c>
      <c r="E11" s="3">
        <v>2.0299999999999998</v>
      </c>
      <c r="F11" s="3">
        <v>0.95</v>
      </c>
      <c r="G11" s="3">
        <v>1.42</v>
      </c>
      <c r="H11" s="3">
        <v>20.03</v>
      </c>
      <c r="I11" s="3">
        <v>1.98</v>
      </c>
      <c r="J11" s="3">
        <f t="shared" si="0"/>
        <v>18.05</v>
      </c>
      <c r="K11" s="3">
        <f t="shared" si="1"/>
        <v>18.05</v>
      </c>
      <c r="L11" s="2" cm="1">
        <f t="array" ref="L11">VLOOKUP(A11,$N$1:$O$100,{2},0)</f>
        <v>0.93579999999999997</v>
      </c>
      <c r="N11" s="8" t="s">
        <v>75</v>
      </c>
      <c r="O11" s="9">
        <v>0.94040000000000001</v>
      </c>
    </row>
    <row r="12" spans="1:15" ht="15" thickBot="1" x14ac:dyDescent="0.4">
      <c r="A12" s="1" t="s">
        <v>30</v>
      </c>
      <c r="B12" s="3">
        <v>5.52</v>
      </c>
      <c r="C12" s="3">
        <v>13.75</v>
      </c>
      <c r="D12" s="3">
        <v>12.67</v>
      </c>
      <c r="E12" s="3">
        <v>4.0599999999999996</v>
      </c>
      <c r="F12" s="3">
        <v>2.99</v>
      </c>
      <c r="G12" s="3">
        <v>1.17</v>
      </c>
      <c r="H12" s="3">
        <v>20.66</v>
      </c>
      <c r="I12" s="3">
        <v>3.44</v>
      </c>
      <c r="J12" s="3">
        <f t="shared" si="0"/>
        <v>17.22</v>
      </c>
      <c r="K12" s="3">
        <f t="shared" si="1"/>
        <v>17.22</v>
      </c>
      <c r="L12" s="2" cm="1">
        <f t="array" ref="L12">VLOOKUP(A12,$N$1:$O$100,{2},0)</f>
        <v>0.92830000000000001</v>
      </c>
      <c r="N12" s="8" t="s">
        <v>33</v>
      </c>
      <c r="O12" s="9">
        <v>0.94030000000000002</v>
      </c>
    </row>
    <row r="13" spans="1:15" ht="15" thickBot="1" x14ac:dyDescent="0.4">
      <c r="A13" s="1" t="s">
        <v>58</v>
      </c>
      <c r="B13" s="3">
        <v>1.73</v>
      </c>
      <c r="C13" s="3">
        <v>7.33</v>
      </c>
      <c r="D13" s="3">
        <v>9.3800000000000008</v>
      </c>
      <c r="E13" s="3">
        <v>1.06</v>
      </c>
      <c r="F13" s="3">
        <v>1.5</v>
      </c>
      <c r="G13" s="3">
        <v>2.4700000000000002</v>
      </c>
      <c r="H13" s="3">
        <v>18.2</v>
      </c>
      <c r="I13" s="3">
        <v>1.69</v>
      </c>
      <c r="J13" s="3">
        <f t="shared" si="0"/>
        <v>16.509999999999998</v>
      </c>
      <c r="K13" s="3">
        <f t="shared" si="1"/>
        <v>16.509999999999998</v>
      </c>
      <c r="L13" s="2" cm="1">
        <f t="array" ref="L13">VLOOKUP(A13,$N$1:$O$100,{2},0)</f>
        <v>0.90490000000000004</v>
      </c>
      <c r="N13" s="8" t="s">
        <v>2</v>
      </c>
      <c r="O13" s="9">
        <v>0.93920000000000003</v>
      </c>
    </row>
    <row r="14" spans="1:15" ht="15" thickBot="1" x14ac:dyDescent="0.4">
      <c r="A14" s="1" t="s">
        <v>5</v>
      </c>
      <c r="B14" s="3">
        <v>0.21</v>
      </c>
      <c r="C14" s="3">
        <v>0.67</v>
      </c>
      <c r="D14" s="3">
        <v>0.93</v>
      </c>
      <c r="E14" s="3">
        <v>7.0000000000000007E-2</v>
      </c>
      <c r="F14" s="3">
        <v>0.35</v>
      </c>
      <c r="G14" s="3">
        <v>15.66</v>
      </c>
      <c r="H14" s="3">
        <v>1.06</v>
      </c>
      <c r="I14" s="3">
        <v>17.21</v>
      </c>
      <c r="J14" s="3">
        <f t="shared" si="0"/>
        <v>-16.150000000000002</v>
      </c>
      <c r="K14" s="3">
        <f t="shared" si="1"/>
        <v>16.150000000000002</v>
      </c>
      <c r="L14" s="2" cm="1">
        <f t="array" ref="L14">VLOOKUP(A14,$N$1:$O$100,{2},0)</f>
        <v>-0.20039999999999999</v>
      </c>
      <c r="N14" s="10" t="s">
        <v>65</v>
      </c>
      <c r="O14" s="11">
        <v>0.93879999999999997</v>
      </c>
    </row>
    <row r="15" spans="1:15" ht="15" thickBot="1" x14ac:dyDescent="0.4">
      <c r="A15" s="1" t="s">
        <v>67</v>
      </c>
      <c r="B15" s="3">
        <v>2.02</v>
      </c>
      <c r="C15" s="3">
        <v>9.51</v>
      </c>
      <c r="D15" s="3">
        <v>9.75</v>
      </c>
      <c r="E15" s="3">
        <v>2.1</v>
      </c>
      <c r="F15" s="3">
        <v>1.18</v>
      </c>
      <c r="G15" s="3">
        <v>1.53</v>
      </c>
      <c r="H15" s="3">
        <v>18.5</v>
      </c>
      <c r="I15" s="3">
        <v>2.4300000000000002</v>
      </c>
      <c r="J15" s="3">
        <f t="shared" si="0"/>
        <v>16.07</v>
      </c>
      <c r="K15" s="3">
        <f t="shared" si="1"/>
        <v>16.07</v>
      </c>
      <c r="L15" s="2" cm="1">
        <f t="array" ref="L15">VLOOKUP(A15,$N$1:$O$100,{2},0)</f>
        <v>0.91810000000000003</v>
      </c>
      <c r="N15" s="8" t="s">
        <v>82</v>
      </c>
      <c r="O15" s="9">
        <v>0.9385</v>
      </c>
    </row>
    <row r="16" spans="1:15" ht="15" thickBot="1" x14ac:dyDescent="0.4">
      <c r="A16" s="1" t="s">
        <v>101</v>
      </c>
      <c r="B16" s="3">
        <v>0.48</v>
      </c>
      <c r="C16" s="3">
        <v>9.2100000000000009</v>
      </c>
      <c r="D16" s="3">
        <v>12.66</v>
      </c>
      <c r="E16" s="3">
        <v>1.75</v>
      </c>
      <c r="F16" s="3">
        <v>0.75</v>
      </c>
      <c r="G16" s="3">
        <v>2.6</v>
      </c>
      <c r="H16" s="3">
        <v>19.39</v>
      </c>
      <c r="I16" s="3">
        <v>3.47</v>
      </c>
      <c r="J16" s="3">
        <f t="shared" si="0"/>
        <v>15.92</v>
      </c>
      <c r="K16" s="3">
        <f t="shared" si="1"/>
        <v>15.92</v>
      </c>
      <c r="L16" s="2" cm="1">
        <f t="array" ref="L16">VLOOKUP(A16,$N$1:$O$100,{2},0)</f>
        <v>0.92830000000000001</v>
      </c>
      <c r="N16" s="8" t="s">
        <v>47</v>
      </c>
      <c r="O16" s="9">
        <v>0.93769999999999998</v>
      </c>
    </row>
    <row r="17" spans="1:15" ht="15" thickBot="1" x14ac:dyDescent="0.4">
      <c r="A17" s="1" t="s">
        <v>96</v>
      </c>
      <c r="B17" s="3">
        <v>2.15</v>
      </c>
      <c r="C17" s="3">
        <v>8.44</v>
      </c>
      <c r="D17" s="3">
        <v>7.74</v>
      </c>
      <c r="E17" s="3">
        <v>1.1000000000000001</v>
      </c>
      <c r="F17" s="3">
        <v>2.2200000000000002</v>
      </c>
      <c r="G17" s="3">
        <v>0.63</v>
      </c>
      <c r="H17" s="3">
        <v>17.579999999999998</v>
      </c>
      <c r="I17" s="3">
        <v>1.8</v>
      </c>
      <c r="J17" s="3">
        <f t="shared" si="0"/>
        <v>15.779999999999998</v>
      </c>
      <c r="K17" s="3">
        <f t="shared" si="1"/>
        <v>15.779999999999998</v>
      </c>
      <c r="L17" s="2" cm="1">
        <f t="array" ref="L17">VLOOKUP(A17,$N$1:$O$100,{2},0)</f>
        <v>0.91469999999999996</v>
      </c>
      <c r="N17" s="8" t="s">
        <v>72</v>
      </c>
      <c r="O17" s="9">
        <v>0.9375</v>
      </c>
    </row>
    <row r="18" spans="1:15" ht="15" thickBot="1" x14ac:dyDescent="0.4">
      <c r="A18" s="1" t="s">
        <v>77</v>
      </c>
      <c r="B18" s="3">
        <v>5.66</v>
      </c>
      <c r="C18" s="3">
        <v>6.7</v>
      </c>
      <c r="D18" s="3">
        <v>16.350000000000001</v>
      </c>
      <c r="E18" s="3">
        <v>2.59</v>
      </c>
      <c r="F18" s="3">
        <v>2.58</v>
      </c>
      <c r="G18" s="3">
        <v>0.94</v>
      </c>
      <c r="H18" s="3">
        <v>19.18</v>
      </c>
      <c r="I18" s="3">
        <v>3.56</v>
      </c>
      <c r="J18" s="3">
        <f t="shared" si="0"/>
        <v>15.62</v>
      </c>
      <c r="K18" s="3">
        <f t="shared" si="1"/>
        <v>15.62</v>
      </c>
      <c r="L18" s="2" t="e" cm="1">
        <f t="array" ref="L18">VLOOKUP(A18,$N$1:$O$100,{2},0)</f>
        <v>#N/A</v>
      </c>
      <c r="N18" s="8" t="s">
        <v>45</v>
      </c>
      <c r="O18" s="9">
        <v>0.93700000000000006</v>
      </c>
    </row>
    <row r="19" spans="1:15" ht="15" thickBot="1" x14ac:dyDescent="0.4">
      <c r="A19" s="1" t="s">
        <v>78</v>
      </c>
      <c r="B19" s="3">
        <v>1.91</v>
      </c>
      <c r="C19" s="3">
        <v>8</v>
      </c>
      <c r="D19" s="3">
        <v>8.6999999999999993</v>
      </c>
      <c r="E19" s="3">
        <v>3.87</v>
      </c>
      <c r="F19" s="3">
        <v>1.75</v>
      </c>
      <c r="G19" s="3">
        <v>0.64</v>
      </c>
      <c r="H19" s="3">
        <v>17.190000000000001</v>
      </c>
      <c r="I19" s="3">
        <v>1.66</v>
      </c>
      <c r="J19" s="3">
        <f t="shared" si="0"/>
        <v>15.530000000000001</v>
      </c>
      <c r="K19" s="3">
        <f t="shared" si="1"/>
        <v>15.530000000000001</v>
      </c>
      <c r="L19" s="2" cm="1">
        <f t="array" ref="L19">VLOOKUP(A19,$N$1:$O$100,{2},0)</f>
        <v>0.82569999999999999</v>
      </c>
      <c r="N19" s="8" t="s">
        <v>84</v>
      </c>
      <c r="O19" s="9">
        <v>0.9365</v>
      </c>
    </row>
    <row r="20" spans="1:15" ht="15" thickBot="1" x14ac:dyDescent="0.4">
      <c r="A20" s="1" t="s">
        <v>52</v>
      </c>
      <c r="B20" s="3">
        <v>2.02</v>
      </c>
      <c r="C20" s="3">
        <v>9.69</v>
      </c>
      <c r="D20" s="3">
        <v>6.55</v>
      </c>
      <c r="E20" s="3">
        <v>4.18</v>
      </c>
      <c r="F20" s="3">
        <v>2.76</v>
      </c>
      <c r="G20" s="3">
        <v>1.1200000000000001</v>
      </c>
      <c r="H20" s="3">
        <v>18.39</v>
      </c>
      <c r="I20" s="3">
        <v>2.87</v>
      </c>
      <c r="J20" s="3">
        <f t="shared" si="0"/>
        <v>15.52</v>
      </c>
      <c r="K20" s="3">
        <f t="shared" si="1"/>
        <v>15.52</v>
      </c>
      <c r="L20" s="2" cm="1">
        <f t="array" ref="L20">VLOOKUP(A20,$N$1:$O$100,{2},0)</f>
        <v>0.91379999999999995</v>
      </c>
      <c r="N20" s="8" t="s">
        <v>85</v>
      </c>
      <c r="O20" s="9">
        <v>0.93600000000000005</v>
      </c>
    </row>
    <row r="21" spans="1:15" ht="15" thickBot="1" x14ac:dyDescent="0.4">
      <c r="A21" s="1" t="s">
        <v>87</v>
      </c>
      <c r="B21" s="3">
        <v>0</v>
      </c>
      <c r="C21" s="3">
        <v>9.34</v>
      </c>
      <c r="D21" s="3">
        <v>13.37</v>
      </c>
      <c r="E21" s="3">
        <v>3.56</v>
      </c>
      <c r="F21" s="3">
        <v>2.86</v>
      </c>
      <c r="G21" s="3">
        <v>5.28</v>
      </c>
      <c r="H21" s="3">
        <v>19.52</v>
      </c>
      <c r="I21" s="3">
        <v>4.13</v>
      </c>
      <c r="J21" s="3">
        <f t="shared" si="0"/>
        <v>15.39</v>
      </c>
      <c r="K21" s="3">
        <f t="shared" si="1"/>
        <v>15.39</v>
      </c>
      <c r="L21" s="2" cm="1">
        <f t="array" ref="L21">VLOOKUP(A21,$N$1:$O$100,{2},0)</f>
        <v>0.84089999999999998</v>
      </c>
      <c r="N21" s="8" t="s">
        <v>18</v>
      </c>
      <c r="O21" s="9">
        <v>0.93589999999999995</v>
      </c>
    </row>
    <row r="22" spans="1:15" ht="15" thickBot="1" x14ac:dyDescent="0.4">
      <c r="A22" s="1" t="s">
        <v>50</v>
      </c>
      <c r="B22" s="3">
        <v>2.73</v>
      </c>
      <c r="C22" s="3">
        <v>13.44</v>
      </c>
      <c r="D22" s="3">
        <v>12.18</v>
      </c>
      <c r="E22" s="3">
        <v>1.24</v>
      </c>
      <c r="F22" s="3">
        <v>1.56</v>
      </c>
      <c r="G22" s="3">
        <v>0.34</v>
      </c>
      <c r="H22" s="3">
        <v>18.54</v>
      </c>
      <c r="I22" s="3">
        <v>3.49</v>
      </c>
      <c r="J22" s="3">
        <f t="shared" si="0"/>
        <v>15.049999999999999</v>
      </c>
      <c r="K22" s="3">
        <f t="shared" si="1"/>
        <v>15.049999999999999</v>
      </c>
      <c r="L22" s="2" cm="1">
        <f t="array" ref="L22">VLOOKUP(A22,$N$1:$O$100,{2},0)</f>
        <v>0.93</v>
      </c>
      <c r="N22" s="8" t="s">
        <v>100</v>
      </c>
      <c r="O22" s="9">
        <v>0.93579999999999997</v>
      </c>
    </row>
    <row r="23" spans="1:15" ht="15" thickBot="1" x14ac:dyDescent="0.4">
      <c r="A23" s="1" t="s">
        <v>63</v>
      </c>
      <c r="B23" s="3">
        <v>0.32</v>
      </c>
      <c r="C23" s="3">
        <v>6.43</v>
      </c>
      <c r="D23" s="3">
        <v>14.01</v>
      </c>
      <c r="E23" s="3">
        <v>4.28</v>
      </c>
      <c r="F23" s="3">
        <v>1.7</v>
      </c>
      <c r="G23" s="3">
        <v>2.75</v>
      </c>
      <c r="H23" s="3">
        <v>17.510000000000002</v>
      </c>
      <c r="I23" s="3">
        <v>2.64</v>
      </c>
      <c r="J23" s="3">
        <f t="shared" si="0"/>
        <v>14.870000000000001</v>
      </c>
      <c r="K23" s="3">
        <f t="shared" si="1"/>
        <v>14.870000000000001</v>
      </c>
      <c r="L23" s="2" cm="1">
        <f t="array" ref="L23">VLOOKUP(A23,$N$1:$O$100,{2},0)</f>
        <v>0.90429999999999999</v>
      </c>
      <c r="N23" s="8" t="s">
        <v>40</v>
      </c>
      <c r="O23" s="9">
        <v>0.93479999999999996</v>
      </c>
    </row>
    <row r="24" spans="1:15" ht="15" thickBot="1" x14ac:dyDescent="0.4">
      <c r="A24" s="1" t="s">
        <v>43</v>
      </c>
      <c r="B24" s="3">
        <v>0.21</v>
      </c>
      <c r="C24" s="3">
        <v>8.0500000000000007</v>
      </c>
      <c r="D24" s="3">
        <v>13.64</v>
      </c>
      <c r="E24" s="3">
        <v>1.48</v>
      </c>
      <c r="F24" s="3">
        <v>1.88</v>
      </c>
      <c r="G24" s="3">
        <v>1.28</v>
      </c>
      <c r="H24" s="3">
        <v>17.37</v>
      </c>
      <c r="I24" s="3">
        <v>2.79</v>
      </c>
      <c r="J24" s="3">
        <f t="shared" si="0"/>
        <v>14.580000000000002</v>
      </c>
      <c r="K24" s="3">
        <f t="shared" si="1"/>
        <v>14.580000000000002</v>
      </c>
      <c r="L24" s="2" t="e" cm="1">
        <f t="array" ref="L24">VLOOKUP(A24,$N$1:$O$100,{2},0)</f>
        <v>#N/A</v>
      </c>
      <c r="N24" s="8" t="s">
        <v>98</v>
      </c>
      <c r="O24" s="9">
        <v>0.93479999999999996</v>
      </c>
    </row>
    <row r="25" spans="1:15" ht="15" thickBot="1" x14ac:dyDescent="0.4">
      <c r="A25" s="1" t="s">
        <v>70</v>
      </c>
      <c r="B25" s="3">
        <v>5.32</v>
      </c>
      <c r="C25" s="3">
        <v>11.45</v>
      </c>
      <c r="D25" s="3">
        <v>8.81</v>
      </c>
      <c r="E25" s="3">
        <v>1.58</v>
      </c>
      <c r="F25" s="3">
        <v>3.72</v>
      </c>
      <c r="G25" s="3">
        <v>3.13</v>
      </c>
      <c r="H25" s="3">
        <v>18.510000000000002</v>
      </c>
      <c r="I25" s="3">
        <v>4.01</v>
      </c>
      <c r="J25" s="3">
        <f t="shared" si="0"/>
        <v>14.500000000000002</v>
      </c>
      <c r="K25" s="3">
        <f t="shared" si="1"/>
        <v>14.500000000000002</v>
      </c>
      <c r="L25" s="2" cm="1">
        <f t="array" ref="L25">VLOOKUP(A25,$N$1:$O$100,{2},0)</f>
        <v>0.9214</v>
      </c>
      <c r="N25" s="8" t="s">
        <v>71</v>
      </c>
      <c r="O25" s="9">
        <v>0.93479999999999996</v>
      </c>
    </row>
    <row r="26" spans="1:15" ht="15" thickBot="1" x14ac:dyDescent="0.4">
      <c r="A26" s="1" t="s">
        <v>103</v>
      </c>
      <c r="B26" s="3">
        <v>5.32</v>
      </c>
      <c r="C26" s="3">
        <v>11.45</v>
      </c>
      <c r="D26" s="3">
        <v>8.81</v>
      </c>
      <c r="E26" s="3">
        <v>1.58</v>
      </c>
      <c r="F26" s="3">
        <v>3.72</v>
      </c>
      <c r="G26" s="3">
        <v>2.79</v>
      </c>
      <c r="H26" s="3">
        <v>18.510000000000002</v>
      </c>
      <c r="I26" s="3">
        <v>4.01</v>
      </c>
      <c r="J26" s="3">
        <f t="shared" si="0"/>
        <v>14.500000000000002</v>
      </c>
      <c r="K26" s="3">
        <f t="shared" si="1"/>
        <v>14.500000000000002</v>
      </c>
      <c r="L26" s="2" cm="1">
        <f t="array" ref="L26">VLOOKUP(A26,$N$1:$O$100,{2},0)</f>
        <v>0.9214</v>
      </c>
      <c r="N26" s="8" t="s">
        <v>48</v>
      </c>
      <c r="O26" s="9">
        <v>0.93469999999999998</v>
      </c>
    </row>
    <row r="27" spans="1:15" ht="15" thickBot="1" x14ac:dyDescent="0.4">
      <c r="A27" s="1" t="s">
        <v>54</v>
      </c>
      <c r="B27" s="3">
        <v>2.1</v>
      </c>
      <c r="C27" s="3">
        <v>9.9700000000000006</v>
      </c>
      <c r="D27" s="3">
        <v>17.22</v>
      </c>
      <c r="E27" s="3">
        <v>3.07</v>
      </c>
      <c r="F27" s="3">
        <v>4.55</v>
      </c>
      <c r="G27" s="3">
        <v>1.31</v>
      </c>
      <c r="H27" s="3">
        <v>18.559999999999999</v>
      </c>
      <c r="I27" s="3">
        <v>4.25</v>
      </c>
      <c r="J27" s="3">
        <f t="shared" si="0"/>
        <v>14.309999999999999</v>
      </c>
      <c r="K27" s="3">
        <f t="shared" si="1"/>
        <v>14.309999999999999</v>
      </c>
      <c r="L27" s="2" cm="1">
        <f t="array" ref="L27">VLOOKUP(A27,$N$1:$O$100,{2},0)</f>
        <v>0.90690000000000004</v>
      </c>
      <c r="N27" s="8" t="s">
        <v>62</v>
      </c>
      <c r="O27" s="9">
        <v>0.93440000000000001</v>
      </c>
    </row>
    <row r="28" spans="1:15" ht="15" thickBot="1" x14ac:dyDescent="0.4">
      <c r="A28" s="1" t="s">
        <v>66</v>
      </c>
      <c r="B28" s="3">
        <v>3.66</v>
      </c>
      <c r="C28" s="3">
        <v>9.5399999999999991</v>
      </c>
      <c r="D28" s="3">
        <v>10.09</v>
      </c>
      <c r="E28" s="3">
        <v>0.62</v>
      </c>
      <c r="F28" s="3">
        <v>2.0499999999999998</v>
      </c>
      <c r="G28" s="3">
        <v>0</v>
      </c>
      <c r="H28" s="3">
        <v>15.96</v>
      </c>
      <c r="I28" s="3">
        <v>1.74</v>
      </c>
      <c r="J28" s="3">
        <f t="shared" si="0"/>
        <v>14.22</v>
      </c>
      <c r="K28" s="3">
        <f t="shared" si="1"/>
        <v>14.22</v>
      </c>
      <c r="L28" s="2" cm="1">
        <f t="array" ref="L28">VLOOKUP(A28,$N$1:$O$100,{2},0)</f>
        <v>0.495</v>
      </c>
      <c r="N28" s="8" t="s">
        <v>39</v>
      </c>
      <c r="O28" s="9">
        <v>0.93410000000000004</v>
      </c>
    </row>
    <row r="29" spans="1:15" ht="15" thickBot="1" x14ac:dyDescent="0.4">
      <c r="A29" s="1" t="s">
        <v>69</v>
      </c>
      <c r="B29" s="3">
        <v>1.77</v>
      </c>
      <c r="C29" s="3">
        <v>10.02</v>
      </c>
      <c r="D29" s="3">
        <v>14.57</v>
      </c>
      <c r="E29" s="3">
        <v>1.96</v>
      </c>
      <c r="F29" s="3">
        <v>2.71</v>
      </c>
      <c r="G29" s="3">
        <v>2.2599999999999998</v>
      </c>
      <c r="H29" s="3">
        <v>17.43</v>
      </c>
      <c r="I29" s="3">
        <v>3.22</v>
      </c>
      <c r="J29" s="3">
        <f t="shared" si="0"/>
        <v>14.209999999999999</v>
      </c>
      <c r="K29" s="3">
        <f t="shared" si="1"/>
        <v>14.209999999999999</v>
      </c>
      <c r="L29" s="2" cm="1">
        <f t="array" ref="L29">VLOOKUP(A29,$N$1:$O$100,{2},0)</f>
        <v>0.88449999999999995</v>
      </c>
      <c r="N29" s="8" t="s">
        <v>91</v>
      </c>
      <c r="O29" s="9">
        <v>0.93400000000000005</v>
      </c>
    </row>
    <row r="30" spans="1:15" ht="15" thickBot="1" x14ac:dyDescent="0.4">
      <c r="A30" s="1" t="s">
        <v>42</v>
      </c>
      <c r="B30" s="3">
        <v>4.5</v>
      </c>
      <c r="C30" s="3">
        <v>6.41</v>
      </c>
      <c r="D30" s="3">
        <v>12.07</v>
      </c>
      <c r="E30" s="3">
        <v>3.13</v>
      </c>
      <c r="F30" s="3">
        <v>2.75</v>
      </c>
      <c r="G30" s="3">
        <v>1.3</v>
      </c>
      <c r="H30" s="3">
        <v>16.89</v>
      </c>
      <c r="I30" s="3">
        <v>2.81</v>
      </c>
      <c r="J30" s="3">
        <f t="shared" si="0"/>
        <v>14.08</v>
      </c>
      <c r="K30" s="3">
        <f t="shared" si="1"/>
        <v>14.08</v>
      </c>
      <c r="L30" s="2" cm="1">
        <f t="array" ref="L30">VLOOKUP(A30,$N$1:$O$100,{2},0)</f>
        <v>0.88500000000000001</v>
      </c>
      <c r="N30" s="8" t="s">
        <v>76</v>
      </c>
      <c r="O30" s="9">
        <v>0.93230000000000002</v>
      </c>
    </row>
    <row r="31" spans="1:15" ht="15" thickBot="1" x14ac:dyDescent="0.4">
      <c r="A31" s="1" t="s">
        <v>21</v>
      </c>
      <c r="B31" s="3">
        <v>4.79</v>
      </c>
      <c r="C31" s="3">
        <v>10.130000000000001</v>
      </c>
      <c r="D31" s="3">
        <v>13.67</v>
      </c>
      <c r="E31" s="3">
        <v>7.45</v>
      </c>
      <c r="F31" s="3">
        <v>3.25</v>
      </c>
      <c r="G31" s="3">
        <v>2.06</v>
      </c>
      <c r="H31" s="3">
        <v>16.28</v>
      </c>
      <c r="I31" s="3">
        <v>2.33</v>
      </c>
      <c r="J31" s="3">
        <f t="shared" si="0"/>
        <v>13.950000000000001</v>
      </c>
      <c r="K31" s="3">
        <f t="shared" si="1"/>
        <v>13.950000000000001</v>
      </c>
      <c r="L31" s="2" cm="1">
        <f t="array" ref="L31">VLOOKUP(A31,$N$1:$O$100,{2},0)</f>
        <v>0.87019999999999997</v>
      </c>
      <c r="N31" s="8" t="s">
        <v>50</v>
      </c>
      <c r="O31" s="9">
        <v>0.93</v>
      </c>
    </row>
    <row r="32" spans="1:15" ht="15" thickBot="1" x14ac:dyDescent="0.4">
      <c r="A32" s="1" t="s">
        <v>57</v>
      </c>
      <c r="B32" s="3">
        <v>2.37</v>
      </c>
      <c r="C32" s="3">
        <v>10.01</v>
      </c>
      <c r="D32" s="3">
        <v>8.86</v>
      </c>
      <c r="E32" s="3">
        <v>1.1499999999999999</v>
      </c>
      <c r="F32" s="3">
        <v>1.89</v>
      </c>
      <c r="G32" s="3">
        <v>1.1100000000000001</v>
      </c>
      <c r="H32" s="3">
        <v>15.74</v>
      </c>
      <c r="I32" s="3">
        <v>1.84</v>
      </c>
      <c r="J32" s="3">
        <f t="shared" si="0"/>
        <v>13.9</v>
      </c>
      <c r="K32" s="3">
        <f t="shared" si="1"/>
        <v>13.9</v>
      </c>
      <c r="L32" s="2" cm="1">
        <f t="array" ref="L32">VLOOKUP(A32,$N$1:$O$100,{2},0)</f>
        <v>0.84330000000000005</v>
      </c>
      <c r="N32" s="10" t="s">
        <v>32</v>
      </c>
      <c r="O32" s="11">
        <v>0.92920000000000003</v>
      </c>
    </row>
    <row r="33" spans="1:15" ht="15" thickBot="1" x14ac:dyDescent="0.4">
      <c r="A33" s="1" t="s">
        <v>46</v>
      </c>
      <c r="B33" s="3">
        <v>2.6</v>
      </c>
      <c r="C33" s="3">
        <v>5.83</v>
      </c>
      <c r="D33" s="3">
        <v>14.28</v>
      </c>
      <c r="E33" s="3">
        <v>2.21</v>
      </c>
      <c r="F33" s="3">
        <v>1.36</v>
      </c>
      <c r="G33" s="3">
        <v>2.95</v>
      </c>
      <c r="H33" s="3">
        <v>15.99</v>
      </c>
      <c r="I33" s="3">
        <v>2.15</v>
      </c>
      <c r="J33" s="3">
        <f t="shared" si="0"/>
        <v>13.84</v>
      </c>
      <c r="K33" s="3">
        <f t="shared" si="1"/>
        <v>13.84</v>
      </c>
      <c r="L33" s="2" cm="1">
        <f t="array" ref="L33">VLOOKUP(A33,$N$1:$O$100,{2},0)</f>
        <v>0.92110000000000003</v>
      </c>
      <c r="N33" s="8" t="s">
        <v>94</v>
      </c>
      <c r="O33" s="9">
        <v>0.92889999999999995</v>
      </c>
    </row>
    <row r="34" spans="1:15" ht="15" thickBot="1" x14ac:dyDescent="0.4">
      <c r="A34" s="1" t="s">
        <v>2</v>
      </c>
      <c r="B34" s="3">
        <v>2.4700000000000002</v>
      </c>
      <c r="C34" s="3">
        <v>7.18</v>
      </c>
      <c r="D34" s="3">
        <v>11.63</v>
      </c>
      <c r="E34" s="3">
        <v>2.67</v>
      </c>
      <c r="F34" s="3">
        <v>2.04</v>
      </c>
      <c r="G34" s="3">
        <v>0.5</v>
      </c>
      <c r="H34" s="3">
        <v>17.46</v>
      </c>
      <c r="I34" s="3">
        <v>3.82</v>
      </c>
      <c r="J34" s="3">
        <f t="shared" ref="J34:J65" si="2">(H34-I34)</f>
        <v>13.64</v>
      </c>
      <c r="K34" s="3">
        <f t="shared" ref="K34:K65" si="3">ABS(J34)</f>
        <v>13.64</v>
      </c>
      <c r="L34" s="2" cm="1">
        <f t="array" ref="L34">VLOOKUP(A34,$N$1:$O$100,{2},0)</f>
        <v>0.93920000000000003</v>
      </c>
      <c r="N34" s="8" t="s">
        <v>101</v>
      </c>
      <c r="O34" s="9">
        <v>0.92830000000000001</v>
      </c>
    </row>
    <row r="35" spans="1:15" ht="15" thickBot="1" x14ac:dyDescent="0.4">
      <c r="A35" s="1" t="s">
        <v>27</v>
      </c>
      <c r="B35" s="3">
        <v>2.16</v>
      </c>
      <c r="C35" s="3">
        <v>9.23</v>
      </c>
      <c r="D35" s="3">
        <v>4.83</v>
      </c>
      <c r="E35" s="3">
        <v>2.83</v>
      </c>
      <c r="F35" s="3">
        <v>1.62</v>
      </c>
      <c r="G35" s="3">
        <v>1.62</v>
      </c>
      <c r="H35" s="3">
        <v>17.649999999999999</v>
      </c>
      <c r="I35" s="3">
        <v>4.0599999999999996</v>
      </c>
      <c r="J35" s="3">
        <f t="shared" si="2"/>
        <v>13.59</v>
      </c>
      <c r="K35" s="3">
        <f t="shared" si="3"/>
        <v>13.59</v>
      </c>
      <c r="L35" s="2" cm="1">
        <f t="array" ref="L35">VLOOKUP(A35,$N$1:$O$100,{2},0)</f>
        <v>0.9204</v>
      </c>
      <c r="N35" s="8" t="s">
        <v>30</v>
      </c>
      <c r="O35" s="9">
        <v>0.92830000000000001</v>
      </c>
    </row>
    <row r="36" spans="1:15" ht="15" thickBot="1" x14ac:dyDescent="0.4">
      <c r="A36" s="1" t="s">
        <v>84</v>
      </c>
      <c r="B36" s="3">
        <v>2.29</v>
      </c>
      <c r="C36" s="3">
        <v>9.84</v>
      </c>
      <c r="D36" s="3">
        <v>12.49</v>
      </c>
      <c r="E36" s="3">
        <v>1.63</v>
      </c>
      <c r="F36" s="3">
        <v>3.2</v>
      </c>
      <c r="G36" s="3">
        <v>1.08</v>
      </c>
      <c r="H36" s="3">
        <v>17.18</v>
      </c>
      <c r="I36" s="3">
        <v>3.69</v>
      </c>
      <c r="J36" s="3">
        <f t="shared" si="2"/>
        <v>13.49</v>
      </c>
      <c r="K36" s="3">
        <f t="shared" si="3"/>
        <v>13.49</v>
      </c>
      <c r="L36" s="2" cm="1">
        <f t="array" ref="L36">VLOOKUP(A36,$N$1:$O$100,{2},0)</f>
        <v>0.9365</v>
      </c>
      <c r="N36" s="8" t="s">
        <v>10</v>
      </c>
      <c r="O36" s="9">
        <v>0.92800000000000005</v>
      </c>
    </row>
    <row r="37" spans="1:15" ht="15" thickBot="1" x14ac:dyDescent="0.4">
      <c r="A37" s="1" t="s">
        <v>80</v>
      </c>
      <c r="B37" s="3">
        <v>3.9</v>
      </c>
      <c r="C37" s="3">
        <v>11.17</v>
      </c>
      <c r="D37" s="3">
        <v>8.2200000000000006</v>
      </c>
      <c r="E37" s="3">
        <v>2.42</v>
      </c>
      <c r="F37" s="3">
        <v>3.14</v>
      </c>
      <c r="G37" s="3">
        <v>1.61</v>
      </c>
      <c r="H37" s="3">
        <v>16.45</v>
      </c>
      <c r="I37" s="3">
        <v>3.07</v>
      </c>
      <c r="J37" s="3">
        <f t="shared" si="2"/>
        <v>13.379999999999999</v>
      </c>
      <c r="K37" s="3">
        <f t="shared" si="3"/>
        <v>13.379999999999999</v>
      </c>
      <c r="L37" s="2" cm="1">
        <f t="array" ref="L37">VLOOKUP(A37,$N$1:$O$100,{2},0)</f>
        <v>0.92490000000000006</v>
      </c>
      <c r="N37" s="8" t="s">
        <v>26</v>
      </c>
      <c r="O37" s="9">
        <v>0.92749999999999999</v>
      </c>
    </row>
    <row r="38" spans="1:15" ht="15" thickBot="1" x14ac:dyDescent="0.4">
      <c r="A38" s="1" t="s">
        <v>16</v>
      </c>
      <c r="B38" s="3">
        <v>2.72</v>
      </c>
      <c r="C38" s="3">
        <v>9.3699999999999992</v>
      </c>
      <c r="D38" s="3">
        <v>7.59</v>
      </c>
      <c r="E38" s="3">
        <v>0.88</v>
      </c>
      <c r="F38" s="3">
        <v>0.36</v>
      </c>
      <c r="G38" s="3">
        <v>3.79</v>
      </c>
      <c r="H38" s="3">
        <v>15.76</v>
      </c>
      <c r="I38" s="3">
        <v>2.42</v>
      </c>
      <c r="J38" s="3">
        <f t="shared" si="2"/>
        <v>13.34</v>
      </c>
      <c r="K38" s="3">
        <f t="shared" si="3"/>
        <v>13.34</v>
      </c>
      <c r="L38" s="2" cm="1">
        <f t="array" ref="L38">VLOOKUP(A38,$N$1:$O$100,{2},0)</f>
        <v>0.90710000000000002</v>
      </c>
      <c r="N38" s="8" t="s">
        <v>88</v>
      </c>
      <c r="O38" s="9">
        <v>0.92610000000000003</v>
      </c>
    </row>
    <row r="39" spans="1:15" ht="15" thickBot="1" x14ac:dyDescent="0.4">
      <c r="A39" s="1" t="s">
        <v>8</v>
      </c>
      <c r="B39" s="3">
        <v>3.41</v>
      </c>
      <c r="C39" s="3">
        <v>8.58</v>
      </c>
      <c r="D39" s="3">
        <v>6.57</v>
      </c>
      <c r="E39" s="3">
        <v>1.02</v>
      </c>
      <c r="F39" s="3">
        <v>1.49</v>
      </c>
      <c r="G39" s="3">
        <v>4.26</v>
      </c>
      <c r="H39" s="3">
        <v>17.55</v>
      </c>
      <c r="I39" s="3">
        <v>4.32</v>
      </c>
      <c r="J39" s="3">
        <f t="shared" si="2"/>
        <v>13.23</v>
      </c>
      <c r="K39" s="3">
        <f t="shared" si="3"/>
        <v>13.23</v>
      </c>
      <c r="L39" s="2" cm="1">
        <f t="array" ref="L39">VLOOKUP(A39,$N$1:$O$100,{2},0)</f>
        <v>0.88300000000000001</v>
      </c>
      <c r="N39" s="8" t="s">
        <v>80</v>
      </c>
      <c r="O39" s="9">
        <v>0.92490000000000006</v>
      </c>
    </row>
    <row r="40" spans="1:15" ht="15" thickBot="1" x14ac:dyDescent="0.4">
      <c r="A40" s="1" t="s">
        <v>102</v>
      </c>
      <c r="B40" s="3">
        <v>0.3</v>
      </c>
      <c r="C40" s="3">
        <v>11.06</v>
      </c>
      <c r="D40" s="3">
        <v>5.48</v>
      </c>
      <c r="E40" s="3">
        <v>2.5099999999999998</v>
      </c>
      <c r="F40" s="3">
        <v>2.2599999999999998</v>
      </c>
      <c r="G40" s="3">
        <v>1</v>
      </c>
      <c r="H40" s="3">
        <v>16.309999999999999</v>
      </c>
      <c r="I40" s="3">
        <v>3.17</v>
      </c>
      <c r="J40" s="3">
        <f t="shared" si="2"/>
        <v>13.139999999999999</v>
      </c>
      <c r="K40" s="3">
        <f t="shared" si="3"/>
        <v>13.139999999999999</v>
      </c>
      <c r="L40" s="2" cm="1">
        <f t="array" ref="L40">VLOOKUP(A40,$N$1:$O$100,{2},0)</f>
        <v>0.91810000000000003</v>
      </c>
      <c r="N40" s="8" t="s">
        <v>14</v>
      </c>
      <c r="O40" s="9">
        <v>0.92479999999999996</v>
      </c>
    </row>
    <row r="41" spans="1:15" ht="15" thickBot="1" x14ac:dyDescent="0.4">
      <c r="A41" s="1" t="s">
        <v>88</v>
      </c>
      <c r="B41" s="3">
        <v>3.21</v>
      </c>
      <c r="C41" s="3">
        <v>6.11</v>
      </c>
      <c r="D41" s="3">
        <v>11.37</v>
      </c>
      <c r="E41" s="3">
        <v>1.2</v>
      </c>
      <c r="F41" s="3">
        <v>2.67</v>
      </c>
      <c r="G41" s="3">
        <v>0.89</v>
      </c>
      <c r="H41" s="3">
        <v>15.71</v>
      </c>
      <c r="I41" s="3">
        <v>2.59</v>
      </c>
      <c r="J41" s="3">
        <f t="shared" si="2"/>
        <v>13.120000000000001</v>
      </c>
      <c r="K41" s="3">
        <f t="shared" si="3"/>
        <v>13.120000000000001</v>
      </c>
      <c r="L41" s="2" cm="1">
        <f t="array" ref="L41">VLOOKUP(A41,$N$1:$O$100,{2},0)</f>
        <v>0.92610000000000003</v>
      </c>
      <c r="N41" s="8" t="s">
        <v>60</v>
      </c>
      <c r="O41" s="9">
        <v>0.92459999999999998</v>
      </c>
    </row>
    <row r="42" spans="1:15" ht="15" thickBot="1" x14ac:dyDescent="0.4">
      <c r="A42" s="1" t="s">
        <v>20</v>
      </c>
      <c r="B42" s="3">
        <v>1.82</v>
      </c>
      <c r="C42" s="3">
        <v>10.49</v>
      </c>
      <c r="D42" s="3">
        <v>11.88</v>
      </c>
      <c r="E42" s="3">
        <v>2.91</v>
      </c>
      <c r="F42" s="3">
        <v>3.11</v>
      </c>
      <c r="G42" s="3">
        <v>1.7</v>
      </c>
      <c r="H42" s="3">
        <v>16.18</v>
      </c>
      <c r="I42" s="3">
        <v>3.18</v>
      </c>
      <c r="J42" s="3">
        <f t="shared" si="2"/>
        <v>13</v>
      </c>
      <c r="K42" s="3">
        <f t="shared" si="3"/>
        <v>13</v>
      </c>
      <c r="L42" s="2" cm="1">
        <f t="array" ref="L42">VLOOKUP(A42,$N$1:$O$100,{2},0)</f>
        <v>0.92349999999999999</v>
      </c>
      <c r="N42" s="8" t="s">
        <v>37</v>
      </c>
      <c r="O42" s="9">
        <v>0.9244</v>
      </c>
    </row>
    <row r="43" spans="1:15" ht="15" thickBot="1" x14ac:dyDescent="0.4">
      <c r="A43" s="1" t="s">
        <v>51</v>
      </c>
      <c r="B43" s="3">
        <v>3.52</v>
      </c>
      <c r="C43" s="3">
        <v>11.58</v>
      </c>
      <c r="D43" s="3">
        <v>19.170000000000002</v>
      </c>
      <c r="E43" s="3">
        <v>1.9</v>
      </c>
      <c r="F43" s="3">
        <v>4.9000000000000004</v>
      </c>
      <c r="G43" s="3">
        <v>1.06</v>
      </c>
      <c r="H43" s="3">
        <v>17.670000000000002</v>
      </c>
      <c r="I43" s="3">
        <v>4.74</v>
      </c>
      <c r="J43" s="3">
        <f t="shared" si="2"/>
        <v>12.930000000000001</v>
      </c>
      <c r="K43" s="3">
        <f t="shared" si="3"/>
        <v>12.930000000000001</v>
      </c>
      <c r="L43" s="2" cm="1">
        <f t="array" ref="L43">VLOOKUP(A43,$N$1:$O$100,{2},0)</f>
        <v>0.89529999999999998</v>
      </c>
      <c r="N43" s="8" t="s">
        <v>6</v>
      </c>
      <c r="O43" s="9">
        <v>0.92400000000000004</v>
      </c>
    </row>
    <row r="44" spans="1:15" ht="15" thickBot="1" x14ac:dyDescent="0.4">
      <c r="A44" s="1" t="s">
        <v>75</v>
      </c>
      <c r="B44" s="3">
        <v>4.5999999999999996</v>
      </c>
      <c r="C44" s="3">
        <v>11.03</v>
      </c>
      <c r="D44" s="3">
        <v>15.62</v>
      </c>
      <c r="E44" s="3">
        <v>3.97</v>
      </c>
      <c r="F44" s="3">
        <v>3.81</v>
      </c>
      <c r="G44" s="3">
        <v>0.82</v>
      </c>
      <c r="H44" s="3">
        <v>16.5</v>
      </c>
      <c r="I44" s="3">
        <v>3.68</v>
      </c>
      <c r="J44" s="3">
        <f t="shared" si="2"/>
        <v>12.82</v>
      </c>
      <c r="K44" s="3">
        <f t="shared" si="3"/>
        <v>12.82</v>
      </c>
      <c r="L44" s="2" cm="1">
        <f t="array" ref="L44">VLOOKUP(A44,$N$1:$O$100,{2},0)</f>
        <v>0.94040000000000001</v>
      </c>
      <c r="N44" s="8" t="s">
        <v>81</v>
      </c>
      <c r="O44" s="9">
        <v>0.92390000000000005</v>
      </c>
    </row>
    <row r="45" spans="1:15" ht="15" thickBot="1" x14ac:dyDescent="0.4">
      <c r="A45" s="1" t="s">
        <v>90</v>
      </c>
      <c r="B45" s="3">
        <v>3.03</v>
      </c>
      <c r="C45" s="3">
        <v>10.58</v>
      </c>
      <c r="D45" s="3">
        <v>10.63</v>
      </c>
      <c r="E45" s="3">
        <v>1.69</v>
      </c>
      <c r="F45" s="3">
        <v>1.84</v>
      </c>
      <c r="G45" s="3">
        <v>0.9</v>
      </c>
      <c r="H45" s="3">
        <v>17.489999999999998</v>
      </c>
      <c r="I45" s="3">
        <v>4.71</v>
      </c>
      <c r="J45" s="3">
        <f t="shared" si="2"/>
        <v>12.779999999999998</v>
      </c>
      <c r="K45" s="3">
        <f t="shared" si="3"/>
        <v>12.779999999999998</v>
      </c>
      <c r="L45" s="2" cm="1">
        <f t="array" ref="L45">VLOOKUP(A45,$N$1:$O$100,{2},0)</f>
        <v>0.94140000000000001</v>
      </c>
      <c r="N45" s="8" t="s">
        <v>20</v>
      </c>
      <c r="O45" s="9">
        <v>0.92349999999999999</v>
      </c>
    </row>
    <row r="46" spans="1:15" ht="15" thickBot="1" x14ac:dyDescent="0.4">
      <c r="A46" s="1" t="s">
        <v>91</v>
      </c>
      <c r="B46" s="3">
        <v>2.99</v>
      </c>
      <c r="C46" s="3">
        <v>11.74</v>
      </c>
      <c r="D46" s="3">
        <v>11.92</v>
      </c>
      <c r="E46" s="3">
        <v>2.12</v>
      </c>
      <c r="F46" s="3">
        <v>4.2</v>
      </c>
      <c r="G46" s="3">
        <v>1.95</v>
      </c>
      <c r="H46" s="3">
        <v>16.29</v>
      </c>
      <c r="I46" s="3">
        <v>3.58</v>
      </c>
      <c r="J46" s="3">
        <f t="shared" si="2"/>
        <v>12.709999999999999</v>
      </c>
      <c r="K46" s="3">
        <f t="shared" si="3"/>
        <v>12.709999999999999</v>
      </c>
      <c r="L46" s="2" cm="1">
        <f t="array" ref="L46">VLOOKUP(A46,$N$1:$O$100,{2},0)</f>
        <v>0.93400000000000005</v>
      </c>
      <c r="N46" s="8" t="s">
        <v>97</v>
      </c>
      <c r="O46" s="9">
        <v>0.92230000000000001</v>
      </c>
    </row>
    <row r="47" spans="1:15" ht="15" thickBot="1" x14ac:dyDescent="0.4">
      <c r="A47" s="1" t="s">
        <v>59</v>
      </c>
      <c r="B47" s="3">
        <v>3.13</v>
      </c>
      <c r="C47" s="3">
        <v>9.5299999999999994</v>
      </c>
      <c r="D47" s="3">
        <v>6.45</v>
      </c>
      <c r="E47" s="3">
        <v>2.94</v>
      </c>
      <c r="F47" s="3">
        <v>3.33</v>
      </c>
      <c r="G47" s="3">
        <v>1.0900000000000001</v>
      </c>
      <c r="H47" s="3">
        <v>15.98</v>
      </c>
      <c r="I47" s="3">
        <v>3.38</v>
      </c>
      <c r="J47" s="3">
        <f t="shared" si="2"/>
        <v>12.600000000000001</v>
      </c>
      <c r="K47" s="3">
        <f t="shared" si="3"/>
        <v>12.600000000000001</v>
      </c>
      <c r="L47" s="2" cm="1">
        <f t="array" ref="L47">VLOOKUP(A47,$N$1:$O$100,{2},0)</f>
        <v>0.88380000000000003</v>
      </c>
      <c r="N47" s="8" t="s">
        <v>23</v>
      </c>
      <c r="O47" s="9">
        <v>0.92190000000000005</v>
      </c>
    </row>
    <row r="48" spans="1:15" ht="15" thickBot="1" x14ac:dyDescent="0.4">
      <c r="A48" s="1" t="s">
        <v>34</v>
      </c>
      <c r="B48" s="3">
        <v>3.68</v>
      </c>
      <c r="C48" s="3">
        <v>10.08</v>
      </c>
      <c r="D48" s="3">
        <v>10.57</v>
      </c>
      <c r="E48" s="3">
        <v>0.55000000000000004</v>
      </c>
      <c r="F48" s="3">
        <v>3.6</v>
      </c>
      <c r="G48" s="3">
        <v>1.3</v>
      </c>
      <c r="H48" s="3">
        <v>16.7</v>
      </c>
      <c r="I48" s="3">
        <v>4.13</v>
      </c>
      <c r="J48" s="3">
        <f t="shared" si="2"/>
        <v>12.57</v>
      </c>
      <c r="K48" s="3">
        <f t="shared" si="3"/>
        <v>12.57</v>
      </c>
      <c r="L48" s="2" cm="1">
        <f t="array" ref="L48">VLOOKUP(A48,$N$1:$O$100,{2},0)</f>
        <v>0.90329999999999999</v>
      </c>
      <c r="N48" s="8" t="s">
        <v>103</v>
      </c>
      <c r="O48" s="9">
        <v>0.9214</v>
      </c>
    </row>
    <row r="49" spans="1:15" ht="15" thickBot="1" x14ac:dyDescent="0.4">
      <c r="A49" s="1" t="s">
        <v>15</v>
      </c>
      <c r="B49" s="3">
        <v>1.28</v>
      </c>
      <c r="C49" s="3">
        <v>6.81</v>
      </c>
      <c r="D49" s="3">
        <v>13.96</v>
      </c>
      <c r="E49" s="3">
        <v>3.42</v>
      </c>
      <c r="F49" s="3">
        <v>3.9</v>
      </c>
      <c r="G49" s="3">
        <v>1.02</v>
      </c>
      <c r="H49" s="3">
        <v>17.55</v>
      </c>
      <c r="I49" s="3">
        <v>5.04</v>
      </c>
      <c r="J49" s="3">
        <f t="shared" si="2"/>
        <v>12.510000000000002</v>
      </c>
      <c r="K49" s="3">
        <f t="shared" si="3"/>
        <v>12.510000000000002</v>
      </c>
      <c r="L49" s="2" cm="1">
        <f t="array" ref="L49">VLOOKUP(A49,$N$1:$O$100,{2},0)</f>
        <v>0.94089999999999996</v>
      </c>
      <c r="N49" s="8" t="s">
        <v>70</v>
      </c>
      <c r="O49" s="9">
        <v>0.9214</v>
      </c>
    </row>
    <row r="50" spans="1:15" ht="15" thickBot="1" x14ac:dyDescent="0.4">
      <c r="A50" s="1" t="s">
        <v>94</v>
      </c>
      <c r="B50" s="3">
        <v>1.99</v>
      </c>
      <c r="C50" s="3">
        <v>17.32</v>
      </c>
      <c r="D50" s="3">
        <v>18.920000000000002</v>
      </c>
      <c r="E50" s="3">
        <v>3.34</v>
      </c>
      <c r="F50" s="3">
        <v>3.64</v>
      </c>
      <c r="G50" s="3">
        <v>1.37</v>
      </c>
      <c r="H50" s="3">
        <v>18.22</v>
      </c>
      <c r="I50" s="3">
        <v>5.75</v>
      </c>
      <c r="J50" s="3">
        <f t="shared" si="2"/>
        <v>12.469999999999999</v>
      </c>
      <c r="K50" s="3">
        <f t="shared" si="3"/>
        <v>12.469999999999999</v>
      </c>
      <c r="L50" s="2" cm="1">
        <f t="array" ref="L50">VLOOKUP(A50,$N$1:$O$100,{2},0)</f>
        <v>0.92889999999999995</v>
      </c>
      <c r="N50" s="8" t="s">
        <v>46</v>
      </c>
      <c r="O50" s="9">
        <v>0.92110000000000003</v>
      </c>
    </row>
    <row r="51" spans="1:15" ht="15" thickBot="1" x14ac:dyDescent="0.4">
      <c r="A51" s="1" t="s">
        <v>95</v>
      </c>
      <c r="B51" s="3">
        <v>1.99</v>
      </c>
      <c r="C51" s="3">
        <v>17.32</v>
      </c>
      <c r="D51" s="3">
        <v>18.920000000000002</v>
      </c>
      <c r="E51" s="3">
        <v>3.34</v>
      </c>
      <c r="F51" s="3">
        <v>3.64</v>
      </c>
      <c r="G51" s="3">
        <v>2.25</v>
      </c>
      <c r="H51" s="3">
        <v>18.22</v>
      </c>
      <c r="I51" s="3">
        <v>5.75</v>
      </c>
      <c r="J51" s="3">
        <f t="shared" si="2"/>
        <v>12.469999999999999</v>
      </c>
      <c r="K51" s="3">
        <f t="shared" si="3"/>
        <v>12.469999999999999</v>
      </c>
      <c r="L51" s="2" t="e" cm="1">
        <f t="array" ref="L51">VLOOKUP(A51,$N$1:$O$100,{2},0)</f>
        <v>#N/A</v>
      </c>
      <c r="N51" s="8" t="s">
        <v>99</v>
      </c>
      <c r="O51" s="9">
        <v>0.92090000000000005</v>
      </c>
    </row>
    <row r="52" spans="1:15" ht="15" thickBot="1" x14ac:dyDescent="0.4">
      <c r="A52" s="1" t="s">
        <v>92</v>
      </c>
      <c r="B52" s="3">
        <v>5.15</v>
      </c>
      <c r="C52" s="3">
        <v>10.130000000000001</v>
      </c>
      <c r="D52" s="3">
        <v>10.99</v>
      </c>
      <c r="E52" s="3">
        <v>0.77</v>
      </c>
      <c r="F52" s="3">
        <v>3.7</v>
      </c>
      <c r="G52" s="3">
        <v>1.46</v>
      </c>
      <c r="H52" s="3">
        <v>14.74</v>
      </c>
      <c r="I52" s="3">
        <v>2.36</v>
      </c>
      <c r="J52" s="3">
        <f t="shared" si="2"/>
        <v>12.38</v>
      </c>
      <c r="K52" s="3">
        <f t="shared" si="3"/>
        <v>12.38</v>
      </c>
      <c r="L52" s="2" cm="1">
        <f t="array" ref="L52">VLOOKUP(A52,$N$1:$O$100,{2},0)</f>
        <v>0.84150000000000003</v>
      </c>
      <c r="N52" s="12" t="s">
        <v>27</v>
      </c>
      <c r="O52" s="9">
        <v>0.9204</v>
      </c>
    </row>
    <row r="53" spans="1:15" ht="15" thickBot="1" x14ac:dyDescent="0.4">
      <c r="A53" s="1" t="s">
        <v>10</v>
      </c>
      <c r="B53" s="3">
        <v>5.19</v>
      </c>
      <c r="C53" s="3">
        <v>10.98</v>
      </c>
      <c r="D53" s="3">
        <v>12.81</v>
      </c>
      <c r="E53" s="3">
        <v>0.89</v>
      </c>
      <c r="F53" s="3">
        <v>1.78</v>
      </c>
      <c r="G53" s="3">
        <v>1.57</v>
      </c>
      <c r="H53" s="3">
        <v>16.53</v>
      </c>
      <c r="I53" s="3">
        <v>4.16</v>
      </c>
      <c r="J53" s="3">
        <f t="shared" si="2"/>
        <v>12.370000000000001</v>
      </c>
      <c r="K53" s="3">
        <f t="shared" si="3"/>
        <v>12.370000000000001</v>
      </c>
      <c r="L53" s="2" cm="1">
        <f t="array" ref="L53">VLOOKUP(A53,$N$1:$O$100,{2},0)</f>
        <v>0.92800000000000005</v>
      </c>
      <c r="N53" s="8" t="s">
        <v>93</v>
      </c>
      <c r="O53" s="9">
        <v>0.91910000000000003</v>
      </c>
    </row>
    <row r="54" spans="1:15" ht="15" thickBot="1" x14ac:dyDescent="0.4">
      <c r="A54" s="1" t="s">
        <v>82</v>
      </c>
      <c r="B54" s="3">
        <v>2.76</v>
      </c>
      <c r="C54" s="3">
        <v>9.49</v>
      </c>
      <c r="D54" s="3">
        <v>9.35</v>
      </c>
      <c r="E54" s="3">
        <v>3.37</v>
      </c>
      <c r="F54" s="3">
        <v>3.45</v>
      </c>
      <c r="G54" s="3">
        <v>0.53</v>
      </c>
      <c r="H54" s="3">
        <v>15.3</v>
      </c>
      <c r="I54" s="3">
        <v>2.99</v>
      </c>
      <c r="J54" s="3">
        <f t="shared" si="2"/>
        <v>12.31</v>
      </c>
      <c r="K54" s="3">
        <f t="shared" si="3"/>
        <v>12.31</v>
      </c>
      <c r="L54" s="2" cm="1">
        <f t="array" ref="L54">VLOOKUP(A54,$N$1:$O$100,{2},0)</f>
        <v>0.9385</v>
      </c>
      <c r="N54" s="8" t="s">
        <v>102</v>
      </c>
      <c r="O54" s="9">
        <v>0.91810000000000003</v>
      </c>
    </row>
    <row r="55" spans="1:15" ht="15" thickBot="1" x14ac:dyDescent="0.4">
      <c r="A55" s="1" t="s">
        <v>19</v>
      </c>
      <c r="B55" s="3">
        <v>3.88</v>
      </c>
      <c r="C55" s="3">
        <v>12.08</v>
      </c>
      <c r="D55" s="3">
        <v>13.42</v>
      </c>
      <c r="E55" s="3">
        <v>3.33</v>
      </c>
      <c r="F55" s="3">
        <v>4.42</v>
      </c>
      <c r="G55" s="3">
        <v>2.5299999999999998</v>
      </c>
      <c r="H55" s="3">
        <v>16.45</v>
      </c>
      <c r="I55" s="3">
        <v>4.1900000000000004</v>
      </c>
      <c r="J55" s="3">
        <f t="shared" si="2"/>
        <v>12.259999999999998</v>
      </c>
      <c r="K55" s="3">
        <f t="shared" si="3"/>
        <v>12.259999999999998</v>
      </c>
      <c r="L55" s="2" cm="1">
        <f t="array" ref="L55">VLOOKUP(A55,$N$1:$O$100,{2},0)</f>
        <v>0.91690000000000005</v>
      </c>
      <c r="N55" s="8" t="s">
        <v>67</v>
      </c>
      <c r="O55" s="9">
        <v>0.91810000000000003</v>
      </c>
    </row>
    <row r="56" spans="1:15" ht="15" thickBot="1" x14ac:dyDescent="0.4">
      <c r="A56" s="1" t="s">
        <v>24</v>
      </c>
      <c r="B56" s="3">
        <v>4.6399999999999997</v>
      </c>
      <c r="C56" s="3">
        <v>9.9600000000000009</v>
      </c>
      <c r="D56" s="3">
        <v>9.94</v>
      </c>
      <c r="E56" s="3">
        <v>3.08</v>
      </c>
      <c r="F56" s="3">
        <v>3.62</v>
      </c>
      <c r="G56" s="3">
        <v>1.67</v>
      </c>
      <c r="H56" s="3">
        <v>15.55</v>
      </c>
      <c r="I56" s="3">
        <v>3.38</v>
      </c>
      <c r="J56" s="3">
        <f t="shared" si="2"/>
        <v>12.170000000000002</v>
      </c>
      <c r="K56" s="3">
        <f t="shared" si="3"/>
        <v>12.170000000000002</v>
      </c>
      <c r="L56" s="2" cm="1">
        <f t="array" ref="L56">VLOOKUP(A56,$N$1:$O$100,{2},0)</f>
        <v>0.89139999999999997</v>
      </c>
      <c r="N56" s="8" t="s">
        <v>19</v>
      </c>
      <c r="O56" s="9">
        <v>0.91690000000000005</v>
      </c>
    </row>
    <row r="57" spans="1:15" ht="15" thickBot="1" x14ac:dyDescent="0.4">
      <c r="A57" s="1" t="s">
        <v>62</v>
      </c>
      <c r="B57" s="3">
        <v>2.25</v>
      </c>
      <c r="C57" s="3">
        <v>9.58</v>
      </c>
      <c r="D57" s="3">
        <v>7.72</v>
      </c>
      <c r="E57" s="3">
        <v>2.48</v>
      </c>
      <c r="F57" s="3">
        <v>3.43</v>
      </c>
      <c r="G57" s="3">
        <v>0.8</v>
      </c>
      <c r="H57" s="3">
        <v>16.010000000000002</v>
      </c>
      <c r="I57" s="3">
        <v>3.85</v>
      </c>
      <c r="J57" s="3">
        <f t="shared" si="2"/>
        <v>12.160000000000002</v>
      </c>
      <c r="K57" s="3">
        <f t="shared" si="3"/>
        <v>12.160000000000002</v>
      </c>
      <c r="L57" s="2" cm="1">
        <f t="array" ref="L57">VLOOKUP(A57,$N$1:$O$100,{2},0)</f>
        <v>0.93440000000000001</v>
      </c>
      <c r="N57" s="8" t="s">
        <v>96</v>
      </c>
      <c r="O57" s="9">
        <v>0.91469999999999996</v>
      </c>
    </row>
    <row r="58" spans="1:15" ht="15" thickBot="1" x14ac:dyDescent="0.4">
      <c r="A58" s="1" t="s">
        <v>71</v>
      </c>
      <c r="B58" s="3">
        <v>3.8</v>
      </c>
      <c r="C58" s="3">
        <v>9.31</v>
      </c>
      <c r="D58" s="3">
        <v>10.55</v>
      </c>
      <c r="E58" s="3">
        <v>2.14</v>
      </c>
      <c r="F58" s="3">
        <v>2.35</v>
      </c>
      <c r="G58" s="3">
        <v>1.9</v>
      </c>
      <c r="H58" s="3">
        <v>15.24</v>
      </c>
      <c r="I58" s="3">
        <v>3.08</v>
      </c>
      <c r="J58" s="3">
        <f t="shared" si="2"/>
        <v>12.16</v>
      </c>
      <c r="K58" s="3">
        <f t="shared" si="3"/>
        <v>12.16</v>
      </c>
      <c r="L58" s="2" cm="1">
        <f t="array" ref="L58">VLOOKUP(A58,$N$1:$O$100,{2},0)</f>
        <v>0.93479999999999996</v>
      </c>
      <c r="N58" s="8" t="s">
        <v>86</v>
      </c>
      <c r="O58" s="9">
        <v>0.91400000000000003</v>
      </c>
    </row>
    <row r="59" spans="1:15" ht="15" thickBot="1" x14ac:dyDescent="0.4">
      <c r="A59" s="1" t="s">
        <v>49</v>
      </c>
      <c r="B59" s="3">
        <v>3.04</v>
      </c>
      <c r="C59" s="3">
        <v>13.74</v>
      </c>
      <c r="D59" s="3">
        <v>10.85</v>
      </c>
      <c r="E59" s="3">
        <v>0.66</v>
      </c>
      <c r="F59" s="3">
        <v>3.09</v>
      </c>
      <c r="G59" s="3">
        <v>1.29</v>
      </c>
      <c r="H59" s="3">
        <v>16.57</v>
      </c>
      <c r="I59" s="3">
        <v>4.42</v>
      </c>
      <c r="J59" s="3">
        <f t="shared" si="2"/>
        <v>12.15</v>
      </c>
      <c r="K59" s="3">
        <f t="shared" si="3"/>
        <v>12.15</v>
      </c>
      <c r="L59" s="2" t="e" cm="1">
        <f t="array" ref="L59">VLOOKUP(A59,$N$1:$O$100,{2},0)</f>
        <v>#N/A</v>
      </c>
      <c r="N59" s="8" t="s">
        <v>52</v>
      </c>
      <c r="O59" s="9">
        <v>0.91379999999999995</v>
      </c>
    </row>
    <row r="60" spans="1:15" ht="15" thickBot="1" x14ac:dyDescent="0.4">
      <c r="A60" s="1" t="s">
        <v>53</v>
      </c>
      <c r="B60" s="3">
        <v>2.88</v>
      </c>
      <c r="C60" s="3">
        <v>11.25</v>
      </c>
      <c r="D60" s="3">
        <v>12.42</v>
      </c>
      <c r="E60" s="3">
        <v>1.84</v>
      </c>
      <c r="F60" s="3">
        <v>3.81</v>
      </c>
      <c r="G60" s="3">
        <v>1.68</v>
      </c>
      <c r="H60" s="3">
        <v>18.41</v>
      </c>
      <c r="I60" s="3">
        <v>6.33</v>
      </c>
      <c r="J60" s="3">
        <f t="shared" si="2"/>
        <v>12.08</v>
      </c>
      <c r="K60" s="3">
        <f t="shared" si="3"/>
        <v>12.08</v>
      </c>
      <c r="L60" s="2" cm="1">
        <f t="array" ref="L60">VLOOKUP(A60,$N$1:$O$100,{2},0)</f>
        <v>0.84550000000000003</v>
      </c>
      <c r="N60" s="8" t="s">
        <v>55</v>
      </c>
      <c r="O60" s="9">
        <v>0.91100000000000003</v>
      </c>
    </row>
    <row r="61" spans="1:15" ht="15" thickBot="1" x14ac:dyDescent="0.4">
      <c r="A61" s="1" t="s">
        <v>14</v>
      </c>
      <c r="B61" s="3">
        <v>2.34</v>
      </c>
      <c r="C61" s="3">
        <v>10.6</v>
      </c>
      <c r="D61" s="3">
        <v>14.47</v>
      </c>
      <c r="E61" s="3">
        <v>4.3600000000000003</v>
      </c>
      <c r="F61" s="3">
        <v>3.08</v>
      </c>
      <c r="G61" s="3">
        <v>1.0900000000000001</v>
      </c>
      <c r="H61" s="3">
        <v>16.46</v>
      </c>
      <c r="I61" s="3">
        <v>4.54</v>
      </c>
      <c r="J61" s="3">
        <f t="shared" si="2"/>
        <v>11.920000000000002</v>
      </c>
      <c r="K61" s="3">
        <f t="shared" si="3"/>
        <v>11.920000000000002</v>
      </c>
      <c r="L61" s="2" cm="1">
        <f t="array" ref="L61">VLOOKUP(A61,$N$1:$O$100,{2},0)</f>
        <v>0.92479999999999996</v>
      </c>
      <c r="N61" s="8" t="s">
        <v>9</v>
      </c>
      <c r="O61" s="9">
        <v>0.90890000000000004</v>
      </c>
    </row>
    <row r="62" spans="1:15" ht="15" thickBot="1" x14ac:dyDescent="0.4">
      <c r="A62" s="1" t="s">
        <v>3</v>
      </c>
      <c r="B62" s="3">
        <v>10.58</v>
      </c>
      <c r="C62" s="3">
        <v>8.08</v>
      </c>
      <c r="D62" s="3">
        <v>1.86</v>
      </c>
      <c r="E62" s="3">
        <v>3.55</v>
      </c>
      <c r="F62" s="3">
        <v>0.56999999999999995</v>
      </c>
      <c r="G62" s="3">
        <v>2.44</v>
      </c>
      <c r="H62" s="3">
        <v>11.81</v>
      </c>
      <c r="I62" s="3">
        <v>0</v>
      </c>
      <c r="J62" s="3">
        <f t="shared" si="2"/>
        <v>11.81</v>
      </c>
      <c r="K62" s="3">
        <f t="shared" si="3"/>
        <v>11.81</v>
      </c>
      <c r="L62" s="2" cm="1">
        <f t="array" ref="L62">VLOOKUP(A62,$N$1:$O$100,{2},0)</f>
        <v>0</v>
      </c>
      <c r="N62" s="8" t="s">
        <v>16</v>
      </c>
      <c r="O62" s="9">
        <v>0.90710000000000002</v>
      </c>
    </row>
    <row r="63" spans="1:15" ht="15" thickBot="1" x14ac:dyDescent="0.4">
      <c r="A63" s="1" t="s">
        <v>4</v>
      </c>
      <c r="B63" s="3">
        <v>10.58</v>
      </c>
      <c r="C63" s="3">
        <v>8.08</v>
      </c>
      <c r="D63" s="3">
        <v>1.86</v>
      </c>
      <c r="E63" s="3">
        <v>3.55</v>
      </c>
      <c r="F63" s="3">
        <v>0.56999999999999995</v>
      </c>
      <c r="G63" s="3">
        <v>0</v>
      </c>
      <c r="H63" s="3">
        <v>11.81</v>
      </c>
      <c r="I63" s="3">
        <v>0</v>
      </c>
      <c r="J63" s="3">
        <f t="shared" si="2"/>
        <v>11.81</v>
      </c>
      <c r="K63" s="3">
        <f t="shared" si="3"/>
        <v>11.81</v>
      </c>
      <c r="L63" s="2" cm="1">
        <f t="array" ref="L63">VLOOKUP(A63,$N$1:$O$100,{2},0)</f>
        <v>0</v>
      </c>
      <c r="N63" s="8" t="s">
        <v>54</v>
      </c>
      <c r="O63" s="9">
        <v>0.90690000000000004</v>
      </c>
    </row>
    <row r="64" spans="1:15" ht="15" thickBot="1" x14ac:dyDescent="0.4">
      <c r="A64" s="1" t="s">
        <v>72</v>
      </c>
      <c r="B64" s="3">
        <v>3.92</v>
      </c>
      <c r="C64" s="3">
        <v>10.71</v>
      </c>
      <c r="D64" s="3">
        <v>14.6</v>
      </c>
      <c r="E64" s="3">
        <v>2.34</v>
      </c>
      <c r="F64" s="3">
        <v>2.88</v>
      </c>
      <c r="G64" s="3">
        <v>2.52</v>
      </c>
      <c r="H64" s="3">
        <v>15.81</v>
      </c>
      <c r="I64" s="3">
        <v>4.01</v>
      </c>
      <c r="J64" s="3">
        <f t="shared" si="2"/>
        <v>11.8</v>
      </c>
      <c r="K64" s="3">
        <f t="shared" si="3"/>
        <v>11.8</v>
      </c>
      <c r="L64" s="2" cm="1">
        <f t="array" ref="L64">VLOOKUP(A64,$N$1:$O$100,{2},0)</f>
        <v>0.9375</v>
      </c>
      <c r="N64" s="8" t="s">
        <v>58</v>
      </c>
      <c r="O64" s="9">
        <v>0.90490000000000004</v>
      </c>
    </row>
    <row r="65" spans="1:15" ht="15" thickBot="1" x14ac:dyDescent="0.4">
      <c r="A65" s="1" t="s">
        <v>97</v>
      </c>
      <c r="B65" s="3">
        <v>3.73</v>
      </c>
      <c r="C65" s="3">
        <v>10.08</v>
      </c>
      <c r="D65" s="3">
        <v>11.53</v>
      </c>
      <c r="E65" s="3">
        <v>1.71</v>
      </c>
      <c r="F65" s="3">
        <v>4.12</v>
      </c>
      <c r="G65" s="3">
        <v>0.99</v>
      </c>
      <c r="H65" s="3">
        <v>16.16</v>
      </c>
      <c r="I65" s="3">
        <v>4.49</v>
      </c>
      <c r="J65" s="3">
        <f t="shared" si="2"/>
        <v>11.67</v>
      </c>
      <c r="K65" s="3">
        <f t="shared" si="3"/>
        <v>11.67</v>
      </c>
      <c r="L65" s="2" cm="1">
        <f t="array" ref="L65">VLOOKUP(A65,$N$1:$O$100,{2},0)</f>
        <v>0.92230000000000001</v>
      </c>
      <c r="N65" s="8" t="s">
        <v>63</v>
      </c>
      <c r="O65" s="9">
        <v>0.90429999999999999</v>
      </c>
    </row>
    <row r="66" spans="1:15" ht="15" thickBot="1" x14ac:dyDescent="0.4">
      <c r="A66" s="1" t="s">
        <v>76</v>
      </c>
      <c r="B66" s="3">
        <v>4.18</v>
      </c>
      <c r="C66" s="3">
        <v>12.8</v>
      </c>
      <c r="D66" s="3">
        <v>11.26</v>
      </c>
      <c r="E66" s="3">
        <v>1.75</v>
      </c>
      <c r="F66" s="3">
        <v>4.16</v>
      </c>
      <c r="G66" s="3">
        <v>1.05</v>
      </c>
      <c r="H66" s="3">
        <v>15.88</v>
      </c>
      <c r="I66" s="3">
        <v>4.25</v>
      </c>
      <c r="J66" s="3">
        <f t="shared" ref="J66:J97" si="4">(H66-I66)</f>
        <v>11.63</v>
      </c>
      <c r="K66" s="3">
        <f t="shared" ref="K66:K97" si="5">ABS(J66)</f>
        <v>11.63</v>
      </c>
      <c r="L66" s="2" cm="1">
        <f t="array" ref="L66">VLOOKUP(A66,$N$1:$O$100,{2},0)</f>
        <v>0.93230000000000002</v>
      </c>
      <c r="N66" s="10" t="s">
        <v>34</v>
      </c>
      <c r="O66" s="11">
        <v>0.90329999999999999</v>
      </c>
    </row>
    <row r="67" spans="1:15" ht="15" thickBot="1" x14ac:dyDescent="0.4">
      <c r="A67" s="1" t="s">
        <v>93</v>
      </c>
      <c r="B67" s="3">
        <v>3.03</v>
      </c>
      <c r="C67" s="3">
        <v>9.24</v>
      </c>
      <c r="D67" s="3">
        <v>4.04</v>
      </c>
      <c r="E67" s="3">
        <v>0.73</v>
      </c>
      <c r="F67" s="3">
        <v>1.63</v>
      </c>
      <c r="G67" s="3">
        <v>2.08</v>
      </c>
      <c r="H67" s="3">
        <v>15.14</v>
      </c>
      <c r="I67" s="3">
        <v>3.52</v>
      </c>
      <c r="J67" s="3">
        <f t="shared" si="4"/>
        <v>11.620000000000001</v>
      </c>
      <c r="K67" s="3">
        <f t="shared" si="5"/>
        <v>11.620000000000001</v>
      </c>
      <c r="L67" s="2" cm="1">
        <f t="array" ref="L67">VLOOKUP(A67,$N$1:$O$100,{2},0)</f>
        <v>0.91910000000000003</v>
      </c>
      <c r="N67" s="10" t="s">
        <v>73</v>
      </c>
      <c r="O67" s="11">
        <v>0.89739999999999998</v>
      </c>
    </row>
    <row r="68" spans="1:15" ht="15" thickBot="1" x14ac:dyDescent="0.4">
      <c r="A68" s="1" t="s">
        <v>22</v>
      </c>
      <c r="B68" s="3">
        <v>3.73</v>
      </c>
      <c r="C68" s="3">
        <v>10.18</v>
      </c>
      <c r="D68" s="3">
        <v>11.73</v>
      </c>
      <c r="E68" s="3">
        <v>1.37</v>
      </c>
      <c r="F68" s="3">
        <v>4.09</v>
      </c>
      <c r="G68" s="3">
        <v>0.54</v>
      </c>
      <c r="H68" s="3">
        <v>16.91</v>
      </c>
      <c r="I68" s="3">
        <v>5.3</v>
      </c>
      <c r="J68" s="3">
        <f t="shared" si="4"/>
        <v>11.61</v>
      </c>
      <c r="K68" s="3">
        <f t="shared" si="5"/>
        <v>11.61</v>
      </c>
      <c r="L68" s="2" cm="1">
        <f t="array" ref="L68">VLOOKUP(A68,$N$1:$O$100,{2},0)</f>
        <v>0.89500000000000002</v>
      </c>
      <c r="N68" s="8" t="s">
        <v>51</v>
      </c>
      <c r="O68" s="9">
        <v>0.89529999999999998</v>
      </c>
    </row>
    <row r="69" spans="1:15" ht="15" thickBot="1" x14ac:dyDescent="0.4">
      <c r="A69" s="1" t="s">
        <v>79</v>
      </c>
      <c r="B69" s="3">
        <v>3.95</v>
      </c>
      <c r="C69" s="3">
        <v>11.27</v>
      </c>
      <c r="D69" s="3">
        <v>12.24</v>
      </c>
      <c r="E69" s="3">
        <v>5.23</v>
      </c>
      <c r="F69" s="3">
        <v>4.03</v>
      </c>
      <c r="G69" s="3">
        <v>1.1499999999999999</v>
      </c>
      <c r="H69" s="3">
        <v>16.440000000000001</v>
      </c>
      <c r="I69" s="3">
        <v>4.8600000000000003</v>
      </c>
      <c r="J69" s="3">
        <f t="shared" si="4"/>
        <v>11.580000000000002</v>
      </c>
      <c r="K69" s="3">
        <f t="shared" si="5"/>
        <v>11.580000000000002</v>
      </c>
      <c r="L69" s="2" cm="1">
        <f t="array" ref="L69">VLOOKUP(A69,$N$1:$O$100,{2},0)</f>
        <v>0.81640000000000001</v>
      </c>
      <c r="N69" s="8" t="s">
        <v>22</v>
      </c>
      <c r="O69" s="9">
        <v>0.89500000000000002</v>
      </c>
    </row>
    <row r="70" spans="1:15" ht="15" thickBot="1" x14ac:dyDescent="0.4">
      <c r="A70" s="1" t="s">
        <v>18</v>
      </c>
      <c r="B70" s="3">
        <v>1.6</v>
      </c>
      <c r="C70" s="3">
        <v>9.0399999999999991</v>
      </c>
      <c r="D70" s="3">
        <v>11.4</v>
      </c>
      <c r="E70" s="3">
        <v>2.74</v>
      </c>
      <c r="F70" s="3">
        <v>1.99</v>
      </c>
      <c r="G70" s="3">
        <v>2.15</v>
      </c>
      <c r="H70" s="3">
        <v>15.59</v>
      </c>
      <c r="I70" s="3">
        <v>4.25</v>
      </c>
      <c r="J70" s="3">
        <f t="shared" si="4"/>
        <v>11.34</v>
      </c>
      <c r="K70" s="3">
        <f t="shared" si="5"/>
        <v>11.34</v>
      </c>
      <c r="L70" s="2" cm="1">
        <f t="array" ref="L70">VLOOKUP(A70,$N$1:$O$100,{2},0)</f>
        <v>0.93589999999999995</v>
      </c>
      <c r="N70" s="8" t="s">
        <v>24</v>
      </c>
      <c r="O70" s="9">
        <v>0.89139999999999997</v>
      </c>
    </row>
    <row r="71" spans="1:15" ht="15" thickBot="1" x14ac:dyDescent="0.4">
      <c r="A71" s="1" t="s">
        <v>9</v>
      </c>
      <c r="B71" s="3">
        <v>2.56</v>
      </c>
      <c r="C71" s="3">
        <v>11.1</v>
      </c>
      <c r="D71" s="3">
        <v>10.36</v>
      </c>
      <c r="E71" s="3">
        <v>2.41</v>
      </c>
      <c r="F71" s="3">
        <v>4.76</v>
      </c>
      <c r="G71" s="3">
        <v>1.05</v>
      </c>
      <c r="H71" s="3">
        <v>15.72</v>
      </c>
      <c r="I71" s="3">
        <v>4.45</v>
      </c>
      <c r="J71" s="3">
        <f t="shared" si="4"/>
        <v>11.27</v>
      </c>
      <c r="K71" s="3">
        <f t="shared" si="5"/>
        <v>11.27</v>
      </c>
      <c r="L71" s="2" cm="1">
        <f t="array" ref="L71">VLOOKUP(A71,$N$1:$O$100,{2},0)</f>
        <v>0.90890000000000004</v>
      </c>
      <c r="N71" s="8" t="s">
        <v>29</v>
      </c>
      <c r="O71" s="9">
        <v>0.89049999999999996</v>
      </c>
    </row>
    <row r="72" spans="1:15" ht="15" thickBot="1" x14ac:dyDescent="0.4">
      <c r="A72" s="1" t="s">
        <v>33</v>
      </c>
      <c r="B72" s="3">
        <v>3.55</v>
      </c>
      <c r="C72" s="3">
        <v>10.08</v>
      </c>
      <c r="D72" s="3">
        <v>8.3699999999999992</v>
      </c>
      <c r="E72" s="3">
        <v>2.39</v>
      </c>
      <c r="F72" s="3">
        <v>3.23</v>
      </c>
      <c r="G72" s="3">
        <v>0.76</v>
      </c>
      <c r="H72" s="3">
        <v>14.97</v>
      </c>
      <c r="I72" s="3">
        <v>3.77</v>
      </c>
      <c r="J72" s="3">
        <f t="shared" si="4"/>
        <v>11.200000000000001</v>
      </c>
      <c r="K72" s="3">
        <f t="shared" si="5"/>
        <v>11.200000000000001</v>
      </c>
      <c r="L72" s="2" cm="1">
        <f t="array" ref="L72">VLOOKUP(A72,$N$1:$O$100,{2},0)</f>
        <v>0.94030000000000002</v>
      </c>
      <c r="N72" s="8" t="s">
        <v>41</v>
      </c>
      <c r="O72" s="9">
        <v>0.88859999999999995</v>
      </c>
    </row>
    <row r="73" spans="1:15" ht="15" thickBot="1" x14ac:dyDescent="0.4">
      <c r="A73" s="1" t="s">
        <v>6</v>
      </c>
      <c r="B73" s="3">
        <v>3.81</v>
      </c>
      <c r="C73" s="3">
        <v>10.58</v>
      </c>
      <c r="D73" s="3">
        <v>11.9</v>
      </c>
      <c r="E73" s="3">
        <v>0.81</v>
      </c>
      <c r="F73" s="3">
        <v>3.19</v>
      </c>
      <c r="G73" s="3">
        <v>0.62</v>
      </c>
      <c r="H73" s="3">
        <v>15.53</v>
      </c>
      <c r="I73" s="3">
        <v>4.33</v>
      </c>
      <c r="J73" s="3">
        <f t="shared" si="4"/>
        <v>11.2</v>
      </c>
      <c r="K73" s="3">
        <f t="shared" si="5"/>
        <v>11.2</v>
      </c>
      <c r="L73" s="2" cm="1">
        <f t="array" ref="L73">VLOOKUP(A73,$N$1:$O$100,{2},0)</f>
        <v>0.92400000000000004</v>
      </c>
      <c r="N73" s="8" t="s">
        <v>42</v>
      </c>
      <c r="O73" s="9">
        <v>0.88500000000000001</v>
      </c>
    </row>
    <row r="74" spans="1:15" ht="15" thickBot="1" x14ac:dyDescent="0.4">
      <c r="A74" s="1" t="s">
        <v>13</v>
      </c>
      <c r="B74" s="3">
        <v>3.69</v>
      </c>
      <c r="C74" s="3">
        <v>9.85</v>
      </c>
      <c r="D74" s="3">
        <v>9.7799999999999994</v>
      </c>
      <c r="E74" s="3">
        <v>3.67</v>
      </c>
      <c r="F74" s="3">
        <v>4.05</v>
      </c>
      <c r="G74" s="3">
        <v>0.93</v>
      </c>
      <c r="H74" s="3">
        <v>16.93</v>
      </c>
      <c r="I74" s="3">
        <v>5.78</v>
      </c>
      <c r="J74" s="3">
        <f t="shared" si="4"/>
        <v>11.149999999999999</v>
      </c>
      <c r="K74" s="3">
        <f t="shared" si="5"/>
        <v>11.149999999999999</v>
      </c>
      <c r="L74" s="2" cm="1">
        <f t="array" ref="L74">VLOOKUP(A74,$N$1:$O$100,{2},0)</f>
        <v>0.94130000000000003</v>
      </c>
      <c r="N74" s="8" t="s">
        <v>69</v>
      </c>
      <c r="O74" s="9">
        <v>0.88449999999999995</v>
      </c>
    </row>
    <row r="75" spans="1:15" ht="15" thickBot="1" x14ac:dyDescent="0.4">
      <c r="A75" s="1" t="s">
        <v>32</v>
      </c>
      <c r="B75" s="3">
        <v>0</v>
      </c>
      <c r="C75" s="3">
        <v>8.17</v>
      </c>
      <c r="D75" s="3">
        <v>6.85</v>
      </c>
      <c r="E75" s="3">
        <v>3.69</v>
      </c>
      <c r="F75" s="3">
        <v>2.74</v>
      </c>
      <c r="G75" s="3">
        <v>0.44</v>
      </c>
      <c r="H75" s="3">
        <v>15.44</v>
      </c>
      <c r="I75" s="3">
        <v>4.32</v>
      </c>
      <c r="J75" s="3">
        <f t="shared" si="4"/>
        <v>11.12</v>
      </c>
      <c r="K75" s="3">
        <f t="shared" si="5"/>
        <v>11.12</v>
      </c>
      <c r="L75" s="2" cm="1">
        <f t="array" ref="L75">VLOOKUP(A75,$N$1:$O$100,{2},0)</f>
        <v>0.92920000000000003</v>
      </c>
      <c r="N75" s="10" t="s">
        <v>59</v>
      </c>
      <c r="O75" s="11">
        <v>0.88380000000000003</v>
      </c>
    </row>
    <row r="76" spans="1:15" ht="15" thickBot="1" x14ac:dyDescent="0.4">
      <c r="A76" s="1" t="s">
        <v>86</v>
      </c>
      <c r="B76" s="3">
        <v>3.57</v>
      </c>
      <c r="C76" s="3">
        <v>12.03</v>
      </c>
      <c r="D76" s="3">
        <v>12.4</v>
      </c>
      <c r="E76" s="3">
        <v>1.21</v>
      </c>
      <c r="F76" s="3">
        <v>4.3</v>
      </c>
      <c r="G76" s="3">
        <v>2.12</v>
      </c>
      <c r="H76" s="3">
        <v>17.12</v>
      </c>
      <c r="I76" s="3">
        <v>6.02</v>
      </c>
      <c r="J76" s="3">
        <f t="shared" si="4"/>
        <v>11.100000000000001</v>
      </c>
      <c r="K76" s="3">
        <f t="shared" si="5"/>
        <v>11.100000000000001</v>
      </c>
      <c r="L76" s="2" cm="1">
        <f t="array" ref="L76">VLOOKUP(A76,$N$1:$O$100,{2},0)</f>
        <v>0.91400000000000003</v>
      </c>
      <c r="N76" s="8" t="s">
        <v>8</v>
      </c>
      <c r="O76" s="9">
        <v>0.88300000000000001</v>
      </c>
    </row>
    <row r="77" spans="1:15" ht="15" thickBot="1" x14ac:dyDescent="0.4">
      <c r="A77" s="1" t="s">
        <v>73</v>
      </c>
      <c r="B77" s="3">
        <v>3.73</v>
      </c>
      <c r="C77" s="3">
        <v>9.91</v>
      </c>
      <c r="D77" s="3">
        <v>7.15</v>
      </c>
      <c r="E77" s="3">
        <v>3.28</v>
      </c>
      <c r="F77" s="3">
        <v>2.93</v>
      </c>
      <c r="G77" s="3">
        <v>1.52</v>
      </c>
      <c r="H77" s="3">
        <v>14.52</v>
      </c>
      <c r="I77" s="3">
        <v>3.47</v>
      </c>
      <c r="J77" s="3">
        <f t="shared" si="4"/>
        <v>11.049999999999999</v>
      </c>
      <c r="K77" s="3">
        <f t="shared" si="5"/>
        <v>11.049999999999999</v>
      </c>
      <c r="L77" s="2" cm="1">
        <f t="array" ref="L77">VLOOKUP(A77,$N$1:$O$100,{2},0)</f>
        <v>0.89739999999999998</v>
      </c>
      <c r="N77" s="8" t="s">
        <v>83</v>
      </c>
      <c r="O77" s="9">
        <v>0.87519999999999998</v>
      </c>
    </row>
    <row r="78" spans="1:15" ht="15" thickBot="1" x14ac:dyDescent="0.4">
      <c r="A78" s="1" t="s">
        <v>40</v>
      </c>
      <c r="B78" s="3">
        <v>3.27</v>
      </c>
      <c r="C78" s="3">
        <v>10.39</v>
      </c>
      <c r="D78" s="3">
        <v>12.7</v>
      </c>
      <c r="E78" s="3">
        <v>1.34</v>
      </c>
      <c r="F78" s="3">
        <v>3.65</v>
      </c>
      <c r="G78" s="3">
        <v>0.6</v>
      </c>
      <c r="H78" s="3">
        <v>15.62</v>
      </c>
      <c r="I78" s="3">
        <v>4.6500000000000004</v>
      </c>
      <c r="J78" s="3">
        <f t="shared" si="4"/>
        <v>10.969999999999999</v>
      </c>
      <c r="K78" s="3">
        <f t="shared" si="5"/>
        <v>10.969999999999999</v>
      </c>
      <c r="L78" s="2" cm="1">
        <f t="array" ref="L78">VLOOKUP(A78,$N$1:$O$100,{2},0)</f>
        <v>0.93479999999999996</v>
      </c>
      <c r="N78" s="8" t="s">
        <v>25</v>
      </c>
      <c r="O78" s="9">
        <v>0.87180000000000002</v>
      </c>
    </row>
    <row r="79" spans="1:15" ht="15" thickBot="1" x14ac:dyDescent="0.4">
      <c r="A79" s="1" t="s">
        <v>98</v>
      </c>
      <c r="B79" s="3">
        <v>3.27</v>
      </c>
      <c r="C79" s="3">
        <v>10.39</v>
      </c>
      <c r="D79" s="3">
        <v>12.7</v>
      </c>
      <c r="E79" s="3">
        <v>1.34</v>
      </c>
      <c r="F79" s="3">
        <v>3.65</v>
      </c>
      <c r="G79" s="3">
        <v>0.71</v>
      </c>
      <c r="H79" s="3">
        <v>15.62</v>
      </c>
      <c r="I79" s="3">
        <v>4.6500000000000004</v>
      </c>
      <c r="J79" s="3">
        <f t="shared" si="4"/>
        <v>10.969999999999999</v>
      </c>
      <c r="K79" s="3">
        <f t="shared" si="5"/>
        <v>10.969999999999999</v>
      </c>
      <c r="L79" s="2" cm="1">
        <f t="array" ref="L79">VLOOKUP(A79,$N$1:$O$100,{2},0)</f>
        <v>0.93479999999999996</v>
      </c>
      <c r="N79" s="8" t="s">
        <v>21</v>
      </c>
      <c r="O79" s="9">
        <v>0.87019999999999997</v>
      </c>
    </row>
    <row r="80" spans="1:15" ht="15" thickBot="1" x14ac:dyDescent="0.4">
      <c r="A80" s="1" t="s">
        <v>25</v>
      </c>
      <c r="B80" s="3">
        <v>3.71</v>
      </c>
      <c r="C80" s="3">
        <v>10.36</v>
      </c>
      <c r="D80" s="3">
        <v>12.5</v>
      </c>
      <c r="E80" s="3">
        <v>0.46</v>
      </c>
      <c r="F80" s="3">
        <v>2.08</v>
      </c>
      <c r="G80" s="3">
        <v>1.59</v>
      </c>
      <c r="H80" s="3">
        <v>14.89</v>
      </c>
      <c r="I80" s="3">
        <v>4.0599999999999996</v>
      </c>
      <c r="J80" s="3">
        <f t="shared" si="4"/>
        <v>10.830000000000002</v>
      </c>
      <c r="K80" s="3">
        <f t="shared" si="5"/>
        <v>10.830000000000002</v>
      </c>
      <c r="L80" s="2" cm="1">
        <f t="array" ref="L80">VLOOKUP(A80,$N$1:$O$100,{2},0)</f>
        <v>0.87180000000000002</v>
      </c>
      <c r="N80" s="8" t="s">
        <v>12</v>
      </c>
      <c r="O80" s="9">
        <v>0.84630000000000005</v>
      </c>
    </row>
    <row r="81" spans="1:15" ht="15" thickBot="1" x14ac:dyDescent="0.4">
      <c r="A81" s="1" t="s">
        <v>55</v>
      </c>
      <c r="B81" s="3">
        <v>2.04</v>
      </c>
      <c r="C81" s="3">
        <v>5.86</v>
      </c>
      <c r="D81" s="3">
        <v>8</v>
      </c>
      <c r="E81" s="3">
        <v>6.45</v>
      </c>
      <c r="F81" s="3">
        <v>2.59</v>
      </c>
      <c r="G81" s="3">
        <v>1.04</v>
      </c>
      <c r="H81" s="3">
        <v>12.9</v>
      </c>
      <c r="I81" s="3">
        <v>2.13</v>
      </c>
      <c r="J81" s="3">
        <f t="shared" si="4"/>
        <v>10.77</v>
      </c>
      <c r="K81" s="3">
        <f t="shared" si="5"/>
        <v>10.77</v>
      </c>
      <c r="L81" s="2" cm="1">
        <f t="array" ref="L81">VLOOKUP(A81,$N$1:$O$100,{2},0)</f>
        <v>0.91100000000000003</v>
      </c>
      <c r="N81" s="8" t="s">
        <v>53</v>
      </c>
      <c r="O81" s="9">
        <v>0.84550000000000003</v>
      </c>
    </row>
    <row r="82" spans="1:15" ht="15" thickBot="1" x14ac:dyDescent="0.4">
      <c r="A82" s="1" t="s">
        <v>39</v>
      </c>
      <c r="B82" s="3">
        <v>4.3</v>
      </c>
      <c r="C82" s="3">
        <v>11.47</v>
      </c>
      <c r="D82" s="3">
        <v>11.48</v>
      </c>
      <c r="E82" s="3">
        <v>2.16</v>
      </c>
      <c r="F82" s="3">
        <v>4.3899999999999997</v>
      </c>
      <c r="G82" s="3">
        <v>1.3</v>
      </c>
      <c r="H82" s="3">
        <v>16.149999999999999</v>
      </c>
      <c r="I82" s="3">
        <v>5.42</v>
      </c>
      <c r="J82" s="3">
        <f t="shared" si="4"/>
        <v>10.729999999999999</v>
      </c>
      <c r="K82" s="3">
        <f t="shared" si="5"/>
        <v>10.729999999999999</v>
      </c>
      <c r="L82" s="2" cm="1">
        <f t="array" ref="L82">VLOOKUP(A82,$N$1:$O$100,{2},0)</f>
        <v>0.93410000000000004</v>
      </c>
      <c r="N82" s="8" t="s">
        <v>57</v>
      </c>
      <c r="O82" s="9">
        <v>0.84330000000000005</v>
      </c>
    </row>
    <row r="83" spans="1:15" ht="15" thickBot="1" x14ac:dyDescent="0.4">
      <c r="A83" s="1" t="s">
        <v>26</v>
      </c>
      <c r="B83" s="3">
        <v>3.83</v>
      </c>
      <c r="C83" s="3">
        <v>10.17</v>
      </c>
      <c r="D83" s="3">
        <v>11.82</v>
      </c>
      <c r="E83" s="3">
        <v>0.77</v>
      </c>
      <c r="F83" s="3">
        <v>3.35</v>
      </c>
      <c r="G83" s="3">
        <v>1.59</v>
      </c>
      <c r="H83" s="3">
        <v>15.04</v>
      </c>
      <c r="I83" s="3">
        <v>4.6100000000000003</v>
      </c>
      <c r="J83" s="3">
        <f t="shared" si="4"/>
        <v>10.43</v>
      </c>
      <c r="K83" s="3">
        <f t="shared" si="5"/>
        <v>10.43</v>
      </c>
      <c r="L83" s="2" cm="1">
        <f t="array" ref="L83">VLOOKUP(A83,$N$1:$O$100,{2},0)</f>
        <v>0.92749999999999999</v>
      </c>
      <c r="N83" s="8" t="s">
        <v>92</v>
      </c>
      <c r="O83" s="9">
        <v>0.84150000000000003</v>
      </c>
    </row>
    <row r="84" spans="1:15" ht="15" thickBot="1" x14ac:dyDescent="0.4">
      <c r="A84" s="1" t="s">
        <v>37</v>
      </c>
      <c r="B84" s="3">
        <v>4.6500000000000004</v>
      </c>
      <c r="C84" s="3">
        <v>11.09</v>
      </c>
      <c r="D84" s="3">
        <v>12.11</v>
      </c>
      <c r="E84" s="3">
        <v>2.78</v>
      </c>
      <c r="F84" s="3">
        <v>4.5199999999999996</v>
      </c>
      <c r="G84" s="3">
        <v>1.69</v>
      </c>
      <c r="H84" s="3">
        <v>15.46</v>
      </c>
      <c r="I84" s="3">
        <v>5.03</v>
      </c>
      <c r="J84" s="3">
        <f t="shared" si="4"/>
        <v>10.43</v>
      </c>
      <c r="K84" s="3">
        <f t="shared" si="5"/>
        <v>10.43</v>
      </c>
      <c r="L84" s="2" cm="1">
        <f t="array" ref="L84">VLOOKUP(A84,$N$1:$O$100,{2},0)</f>
        <v>0.9244</v>
      </c>
      <c r="N84" s="8" t="s">
        <v>87</v>
      </c>
      <c r="O84" s="9">
        <v>0.84089999999999998</v>
      </c>
    </row>
    <row r="85" spans="1:15" ht="15" thickBot="1" x14ac:dyDescent="0.4">
      <c r="A85" s="1" t="s">
        <v>89</v>
      </c>
      <c r="B85" s="3">
        <v>4.05</v>
      </c>
      <c r="C85" s="3">
        <v>9.44</v>
      </c>
      <c r="D85" s="3">
        <v>13.39</v>
      </c>
      <c r="E85" s="3">
        <v>3.26</v>
      </c>
      <c r="F85" s="3">
        <v>2.5099999999999998</v>
      </c>
      <c r="G85" s="3">
        <v>0.89</v>
      </c>
      <c r="H85" s="3">
        <v>16.14</v>
      </c>
      <c r="I85" s="3">
        <v>5.72</v>
      </c>
      <c r="J85" s="3">
        <f t="shared" si="4"/>
        <v>10.420000000000002</v>
      </c>
      <c r="K85" s="3">
        <f t="shared" si="5"/>
        <v>10.420000000000002</v>
      </c>
      <c r="L85" s="2" cm="1">
        <f t="array" ref="L85">VLOOKUP(A85,$N$1:$O$100,{2},0)</f>
        <v>0.9425</v>
      </c>
      <c r="N85" s="8" t="s">
        <v>38</v>
      </c>
      <c r="O85" s="9">
        <v>0.83879999999999999</v>
      </c>
    </row>
    <row r="86" spans="1:15" ht="15" thickBot="1" x14ac:dyDescent="0.4">
      <c r="A86" s="1" t="s">
        <v>17</v>
      </c>
      <c r="B86" s="3">
        <v>3.42</v>
      </c>
      <c r="C86" s="3">
        <v>10.35</v>
      </c>
      <c r="D86" s="3">
        <v>11.04</v>
      </c>
      <c r="E86" s="3">
        <v>0.64</v>
      </c>
      <c r="F86" s="3">
        <v>3.24</v>
      </c>
      <c r="G86" s="3">
        <v>1.05</v>
      </c>
      <c r="H86" s="3">
        <v>15.18</v>
      </c>
      <c r="I86" s="3">
        <v>5.12</v>
      </c>
      <c r="J86" s="3">
        <f t="shared" si="4"/>
        <v>10.059999999999999</v>
      </c>
      <c r="K86" s="3">
        <f t="shared" si="5"/>
        <v>10.059999999999999</v>
      </c>
      <c r="L86" s="2" cm="1">
        <f t="array" ref="L86">VLOOKUP(A86,$N$1:$O$100,{2},0)</f>
        <v>0.94350000000000001</v>
      </c>
      <c r="N86" s="8" t="s">
        <v>78</v>
      </c>
      <c r="O86" s="9">
        <v>0.82569999999999999</v>
      </c>
    </row>
    <row r="87" spans="1:15" ht="15" thickBot="1" x14ac:dyDescent="0.4">
      <c r="A87" s="1" t="s">
        <v>29</v>
      </c>
      <c r="B87" s="3">
        <v>3.04</v>
      </c>
      <c r="C87" s="3">
        <v>9.81</v>
      </c>
      <c r="D87" s="3">
        <v>9.6999999999999993</v>
      </c>
      <c r="E87" s="3">
        <v>1</v>
      </c>
      <c r="F87" s="3">
        <v>2.21</v>
      </c>
      <c r="G87" s="3">
        <v>2.21</v>
      </c>
      <c r="H87" s="3">
        <v>14.94</v>
      </c>
      <c r="I87" s="3">
        <v>4.91</v>
      </c>
      <c r="J87" s="3">
        <f t="shared" si="4"/>
        <v>10.029999999999999</v>
      </c>
      <c r="K87" s="3">
        <f t="shared" si="5"/>
        <v>10.029999999999999</v>
      </c>
      <c r="L87" s="2" cm="1">
        <f t="array" ref="L87">VLOOKUP(A87,$N$1:$O$100,{2},0)</f>
        <v>0.89049999999999996</v>
      </c>
      <c r="N87" s="8" t="s">
        <v>35</v>
      </c>
      <c r="O87" s="9">
        <v>0.82230000000000003</v>
      </c>
    </row>
    <row r="88" spans="1:15" ht="15" thickBot="1" x14ac:dyDescent="0.4">
      <c r="A88" s="1" t="s">
        <v>11</v>
      </c>
      <c r="B88" s="3">
        <v>1.71</v>
      </c>
      <c r="C88" s="3">
        <v>12.48</v>
      </c>
      <c r="D88" s="3">
        <v>17.04</v>
      </c>
      <c r="E88" s="3">
        <v>2.38</v>
      </c>
      <c r="F88" s="3">
        <v>6.28</v>
      </c>
      <c r="G88" s="3">
        <v>0.62</v>
      </c>
      <c r="H88" s="3">
        <v>15.84</v>
      </c>
      <c r="I88" s="3">
        <v>5.87</v>
      </c>
      <c r="J88" s="3">
        <f t="shared" si="4"/>
        <v>9.9699999999999989</v>
      </c>
      <c r="K88" s="3">
        <f t="shared" si="5"/>
        <v>9.9699999999999989</v>
      </c>
      <c r="L88" s="2" cm="1">
        <f t="array" ref="L88">VLOOKUP(A88,$N$1:$O$100,{2},0)</f>
        <v>0.8125</v>
      </c>
      <c r="N88" s="8" t="s">
        <v>79</v>
      </c>
      <c r="O88" s="9">
        <v>0.81640000000000001</v>
      </c>
    </row>
    <row r="89" spans="1:15" ht="15" thickBot="1" x14ac:dyDescent="0.4">
      <c r="A89" s="1" t="s">
        <v>23</v>
      </c>
      <c r="B89" s="3">
        <v>3.99</v>
      </c>
      <c r="C89" s="3">
        <v>10.51</v>
      </c>
      <c r="D89" s="3">
        <v>12.36</v>
      </c>
      <c r="E89" s="3">
        <v>2.58</v>
      </c>
      <c r="F89" s="3">
        <v>4.03</v>
      </c>
      <c r="G89" s="3">
        <v>1.22</v>
      </c>
      <c r="H89" s="3">
        <v>15.01</v>
      </c>
      <c r="I89" s="3">
        <v>5.04</v>
      </c>
      <c r="J89" s="3">
        <f t="shared" si="4"/>
        <v>9.9699999999999989</v>
      </c>
      <c r="K89" s="3">
        <f t="shared" si="5"/>
        <v>9.9699999999999989</v>
      </c>
      <c r="L89" s="2" cm="1">
        <f t="array" ref="L89">VLOOKUP(A89,$N$1:$O$100,{2},0)</f>
        <v>0.92190000000000005</v>
      </c>
      <c r="N89" s="8" t="s">
        <v>11</v>
      </c>
      <c r="O89" s="9">
        <v>0.8125</v>
      </c>
    </row>
    <row r="90" spans="1:15" ht="15" thickBot="1" x14ac:dyDescent="0.4">
      <c r="A90" s="1" t="s">
        <v>45</v>
      </c>
      <c r="B90" s="3">
        <v>9.6300000000000008</v>
      </c>
      <c r="C90" s="3">
        <v>10.28</v>
      </c>
      <c r="D90" s="3">
        <v>11.35</v>
      </c>
      <c r="E90" s="3">
        <v>5.12</v>
      </c>
      <c r="F90" s="3">
        <v>4.6399999999999997</v>
      </c>
      <c r="G90" s="3">
        <v>1.5</v>
      </c>
      <c r="H90" s="3">
        <v>16.690000000000001</v>
      </c>
      <c r="I90" s="3">
        <v>6.75</v>
      </c>
      <c r="J90" s="3">
        <f t="shared" si="4"/>
        <v>9.9400000000000013</v>
      </c>
      <c r="K90" s="3">
        <f t="shared" si="5"/>
        <v>9.9400000000000013</v>
      </c>
      <c r="L90" s="2" cm="1">
        <f t="array" ref="L90">VLOOKUP(A90,$N$1:$O$100,{2},0)</f>
        <v>0.93700000000000006</v>
      </c>
      <c r="N90" s="8" t="s">
        <v>56</v>
      </c>
      <c r="O90" s="9">
        <v>0.71730000000000005</v>
      </c>
    </row>
    <row r="91" spans="1:15" ht="15" thickBot="1" x14ac:dyDescent="0.4">
      <c r="A91" s="1" t="s">
        <v>85</v>
      </c>
      <c r="B91" s="3">
        <v>4.3</v>
      </c>
      <c r="C91" s="3">
        <v>11.16</v>
      </c>
      <c r="D91" s="3">
        <v>13.94</v>
      </c>
      <c r="E91" s="3">
        <v>1.5</v>
      </c>
      <c r="F91" s="3">
        <v>5.17</v>
      </c>
      <c r="G91" s="3">
        <v>0.95</v>
      </c>
      <c r="H91" s="3">
        <v>15.58</v>
      </c>
      <c r="I91" s="3">
        <v>5.68</v>
      </c>
      <c r="J91" s="3">
        <f t="shared" si="4"/>
        <v>9.9</v>
      </c>
      <c r="K91" s="3">
        <f t="shared" si="5"/>
        <v>9.9</v>
      </c>
      <c r="L91" s="2" cm="1">
        <f t="array" ref="L91">VLOOKUP(A91,$N$1:$O$100,{2},0)</f>
        <v>0.93600000000000005</v>
      </c>
      <c r="N91" s="8" t="s">
        <v>68</v>
      </c>
      <c r="O91" s="9">
        <v>0.71730000000000005</v>
      </c>
    </row>
    <row r="92" spans="1:15" ht="15" thickBot="1" x14ac:dyDescent="0.4">
      <c r="A92" s="1" t="s">
        <v>28</v>
      </c>
      <c r="B92" s="3">
        <v>3.35</v>
      </c>
      <c r="C92" s="3">
        <v>9.76</v>
      </c>
      <c r="D92" s="3">
        <v>11.1</v>
      </c>
      <c r="E92" s="3">
        <v>0.87</v>
      </c>
      <c r="F92" s="3">
        <v>3.37</v>
      </c>
      <c r="G92" s="3">
        <v>0.86</v>
      </c>
      <c r="H92" s="3">
        <v>15.09</v>
      </c>
      <c r="I92" s="3">
        <v>5.38</v>
      </c>
      <c r="J92" s="3">
        <f t="shared" si="4"/>
        <v>9.7100000000000009</v>
      </c>
      <c r="K92" s="3">
        <f t="shared" si="5"/>
        <v>9.7100000000000009</v>
      </c>
      <c r="L92" s="2" cm="1">
        <f t="array" ref="L92">VLOOKUP(A92,$N$1:$O$100,{2},0)</f>
        <v>0.94169999999999998</v>
      </c>
      <c r="N92" s="8" t="s">
        <v>66</v>
      </c>
      <c r="O92" s="9">
        <v>0.495</v>
      </c>
    </row>
    <row r="93" spans="1:15" ht="15" thickBot="1" x14ac:dyDescent="0.4">
      <c r="A93" s="1" t="s">
        <v>65</v>
      </c>
      <c r="B93" s="3">
        <v>3.59</v>
      </c>
      <c r="C93" s="3">
        <v>10.9</v>
      </c>
      <c r="D93" s="3">
        <v>13.22</v>
      </c>
      <c r="E93" s="3">
        <v>3.37</v>
      </c>
      <c r="F93" s="3">
        <v>4.17</v>
      </c>
      <c r="G93" s="3">
        <v>0.77</v>
      </c>
      <c r="H93" s="3">
        <v>13.97</v>
      </c>
      <c r="I93" s="3">
        <v>4.41</v>
      </c>
      <c r="J93" s="3">
        <f t="shared" si="4"/>
        <v>9.56</v>
      </c>
      <c r="K93" s="3">
        <f t="shared" si="5"/>
        <v>9.56</v>
      </c>
      <c r="L93" s="2" cm="1">
        <f t="array" ref="L93">VLOOKUP(A93,$N$1:$O$100,{2},0)</f>
        <v>0.93879999999999997</v>
      </c>
      <c r="N93" s="8" t="s">
        <v>74</v>
      </c>
      <c r="O93" s="9">
        <v>0</v>
      </c>
    </row>
    <row r="94" spans="1:15" ht="15" thickBot="1" x14ac:dyDescent="0.4">
      <c r="A94" s="1" t="s">
        <v>47</v>
      </c>
      <c r="B94" s="3">
        <v>2.5099999999999998</v>
      </c>
      <c r="C94" s="3">
        <v>10.19</v>
      </c>
      <c r="D94" s="3">
        <v>10.93</v>
      </c>
      <c r="E94" s="3">
        <v>3.33</v>
      </c>
      <c r="F94" s="3">
        <v>4.37</v>
      </c>
      <c r="G94" s="3">
        <v>0.56000000000000005</v>
      </c>
      <c r="H94" s="3">
        <v>12.69</v>
      </c>
      <c r="I94" s="3">
        <v>4.3899999999999997</v>
      </c>
      <c r="J94" s="3">
        <f t="shared" si="4"/>
        <v>8.3000000000000007</v>
      </c>
      <c r="K94" s="3">
        <f t="shared" si="5"/>
        <v>8.3000000000000007</v>
      </c>
      <c r="L94" s="2" cm="1">
        <f t="array" ref="L94">VLOOKUP(A94,$N$1:$O$100,{2},0)</f>
        <v>0.93769999999999998</v>
      </c>
      <c r="N94" s="8" t="s">
        <v>3</v>
      </c>
      <c r="O94" s="9">
        <v>0</v>
      </c>
    </row>
    <row r="95" spans="1:15" ht="15" thickBot="1" x14ac:dyDescent="0.4">
      <c r="A95" s="1" t="s">
        <v>48</v>
      </c>
      <c r="B95" s="3">
        <v>3.43</v>
      </c>
      <c r="C95" s="3">
        <v>9.76</v>
      </c>
      <c r="D95" s="3">
        <v>10.58</v>
      </c>
      <c r="E95" s="3">
        <v>2.3199999999999998</v>
      </c>
      <c r="F95" s="3">
        <v>2.7</v>
      </c>
      <c r="G95" s="3">
        <v>2.3199999999999998</v>
      </c>
      <c r="H95" s="3">
        <v>15.94</v>
      </c>
      <c r="I95" s="3">
        <v>7.66</v>
      </c>
      <c r="J95" s="3">
        <f t="shared" si="4"/>
        <v>8.2799999999999994</v>
      </c>
      <c r="K95" s="3">
        <f t="shared" si="5"/>
        <v>8.2799999999999994</v>
      </c>
      <c r="L95" s="2" cm="1">
        <f t="array" ref="L95">VLOOKUP(A95,$N$1:$O$100,{2},0)</f>
        <v>0.93469999999999998</v>
      </c>
      <c r="N95" s="10" t="s">
        <v>4</v>
      </c>
      <c r="O95" s="11">
        <v>0</v>
      </c>
    </row>
    <row r="96" spans="1:15" ht="15" thickBot="1" x14ac:dyDescent="0.4">
      <c r="A96" s="1" t="s">
        <v>81</v>
      </c>
      <c r="B96" s="3">
        <v>3.2</v>
      </c>
      <c r="C96" s="3">
        <v>10.87</v>
      </c>
      <c r="D96" s="3">
        <v>11.15</v>
      </c>
      <c r="E96" s="3">
        <v>2.4700000000000002</v>
      </c>
      <c r="F96" s="3">
        <v>4.9400000000000004</v>
      </c>
      <c r="G96" s="3">
        <v>1.8</v>
      </c>
      <c r="H96" s="3">
        <v>12.79</v>
      </c>
      <c r="I96" s="3">
        <v>4.78</v>
      </c>
      <c r="J96" s="3">
        <f t="shared" si="4"/>
        <v>8.009999999999998</v>
      </c>
      <c r="K96" s="3">
        <f t="shared" si="5"/>
        <v>8.009999999999998</v>
      </c>
      <c r="L96" s="2" cm="1">
        <f t="array" ref="L96">VLOOKUP(A96,$N$1:$O$100,{2},0)</f>
        <v>0.92390000000000005</v>
      </c>
      <c r="N96" s="8" t="s">
        <v>64</v>
      </c>
      <c r="O96" s="9">
        <v>-0.113</v>
      </c>
    </row>
    <row r="97" spans="1:15" ht="15" thickBot="1" x14ac:dyDescent="0.4">
      <c r="A97" s="1" t="s">
        <v>61</v>
      </c>
      <c r="B97" s="3">
        <v>4.4000000000000004</v>
      </c>
      <c r="C97" s="3">
        <v>10.65</v>
      </c>
      <c r="D97" s="3">
        <v>9.07</v>
      </c>
      <c r="E97" s="3">
        <v>2.35</v>
      </c>
      <c r="F97" s="3">
        <v>6.41</v>
      </c>
      <c r="G97" s="3">
        <v>2.23</v>
      </c>
      <c r="H97" s="3">
        <v>15.11</v>
      </c>
      <c r="I97" s="3">
        <v>7.82</v>
      </c>
      <c r="J97" s="3">
        <f t="shared" si="4"/>
        <v>7.2899999999999991</v>
      </c>
      <c r="K97" s="3">
        <f t="shared" si="5"/>
        <v>7.2899999999999991</v>
      </c>
      <c r="L97" s="2" cm="1">
        <f t="array" ref="L97">VLOOKUP(A97,$N$1:$O$100,{2},0)</f>
        <v>0.94240000000000002</v>
      </c>
      <c r="N97" s="8" t="s">
        <v>5</v>
      </c>
      <c r="O97" s="9">
        <v>-0.20039999999999999</v>
      </c>
    </row>
    <row r="98" spans="1:15" ht="15" thickBot="1" x14ac:dyDescent="0.4">
      <c r="A98" s="1" t="s">
        <v>99</v>
      </c>
      <c r="B98" s="3">
        <v>1.88</v>
      </c>
      <c r="C98" s="3">
        <v>11.56</v>
      </c>
      <c r="D98" s="3">
        <v>10.92</v>
      </c>
      <c r="E98" s="3">
        <v>6.57</v>
      </c>
      <c r="F98" s="3">
        <v>7.78</v>
      </c>
      <c r="G98" s="3">
        <v>2.39</v>
      </c>
      <c r="H98" s="3">
        <v>15.03</v>
      </c>
      <c r="I98" s="3">
        <v>7.75</v>
      </c>
      <c r="J98" s="3">
        <f t="shared" ref="J98:J104" si="6">(H98-I98)</f>
        <v>7.2799999999999994</v>
      </c>
      <c r="K98" s="3">
        <f t="shared" ref="K98:K104" si="7">ABS(J98)</f>
        <v>7.2799999999999994</v>
      </c>
      <c r="L98" s="2" cm="1">
        <f t="array" ref="L98">VLOOKUP(A98,$N$1:$O$100,{2},0)</f>
        <v>0.92090000000000005</v>
      </c>
      <c r="N98" s="8" t="s">
        <v>36</v>
      </c>
      <c r="O98" s="9">
        <v>-0.29930000000000001</v>
      </c>
    </row>
    <row r="99" spans="1:15" ht="15" thickBot="1" x14ac:dyDescent="0.4">
      <c r="A99" s="1" t="s">
        <v>31</v>
      </c>
      <c r="B99" s="3">
        <v>0</v>
      </c>
      <c r="C99" s="3">
        <v>0</v>
      </c>
      <c r="D99" s="3">
        <v>0</v>
      </c>
      <c r="E99" s="3">
        <v>0</v>
      </c>
      <c r="F99" s="3">
        <v>4.0999999999999996</v>
      </c>
      <c r="G99" s="3">
        <v>1.2</v>
      </c>
      <c r="H99" s="3">
        <v>0.67</v>
      </c>
      <c r="I99" s="3">
        <v>3.51</v>
      </c>
      <c r="J99" s="3">
        <f t="shared" si="6"/>
        <v>-2.84</v>
      </c>
      <c r="K99" s="3">
        <f t="shared" si="7"/>
        <v>2.84</v>
      </c>
      <c r="L99" s="2" cm="1">
        <f t="array" ref="L99">VLOOKUP(A99,$N$1:$O$100,{2},0)</f>
        <v>-1.8655999999999999</v>
      </c>
      <c r="N99" s="8" t="s">
        <v>31</v>
      </c>
      <c r="O99" s="9">
        <v>-1.8655999999999999</v>
      </c>
    </row>
    <row r="100" spans="1:15" ht="15" thickBot="1" x14ac:dyDescent="0.4">
      <c r="A100" s="1" t="s">
        <v>44</v>
      </c>
      <c r="B100" s="3">
        <v>0</v>
      </c>
      <c r="C100" s="3">
        <v>4.0999999999999996</v>
      </c>
      <c r="D100" s="3">
        <v>7.83</v>
      </c>
      <c r="E100" s="3">
        <v>6.04</v>
      </c>
      <c r="F100" s="3">
        <v>5.26</v>
      </c>
      <c r="G100" s="3">
        <v>0.63</v>
      </c>
      <c r="H100" s="3">
        <v>6.32</v>
      </c>
      <c r="I100" s="3">
        <v>4.1500000000000004</v>
      </c>
      <c r="J100" s="3">
        <f t="shared" si="6"/>
        <v>2.17</v>
      </c>
      <c r="K100" s="3">
        <f t="shared" si="7"/>
        <v>2.17</v>
      </c>
      <c r="L100" s="2" cm="1">
        <f t="array" ref="L100">VLOOKUP(A100,$N$1:$O$100,{2},0)</f>
        <v>0.94179999999999997</v>
      </c>
      <c r="N100" s="8" t="s">
        <v>7</v>
      </c>
      <c r="O100" s="9">
        <v>-2.1861000000000002</v>
      </c>
    </row>
    <row r="101" spans="1:15" x14ac:dyDescent="0.35">
      <c r="A101" s="1" t="s">
        <v>104</v>
      </c>
      <c r="B101" s="3">
        <v>0</v>
      </c>
      <c r="C101" s="3">
        <v>4.0999999999999996</v>
      </c>
      <c r="D101" s="3">
        <v>7.83</v>
      </c>
      <c r="E101" s="3">
        <v>6.04</v>
      </c>
      <c r="F101" s="3">
        <v>5.26</v>
      </c>
      <c r="G101" s="3">
        <v>1.73</v>
      </c>
      <c r="H101" s="3">
        <v>6.32</v>
      </c>
      <c r="I101" s="3">
        <v>4.1500000000000004</v>
      </c>
      <c r="J101" s="3">
        <f t="shared" si="6"/>
        <v>2.17</v>
      </c>
      <c r="K101" s="3">
        <f t="shared" si="7"/>
        <v>2.17</v>
      </c>
      <c r="L101" s="2" cm="1">
        <f t="array" ref="L101">VLOOKUP(A101,$N$1:$O$100,{2},0)</f>
        <v>0.94179999999999997</v>
      </c>
    </row>
    <row r="102" spans="1:15" x14ac:dyDescent="0.35">
      <c r="A102" s="1" t="s">
        <v>64</v>
      </c>
      <c r="B102" s="3">
        <v>0</v>
      </c>
      <c r="C102" s="3">
        <v>0</v>
      </c>
      <c r="D102" s="3">
        <v>0</v>
      </c>
      <c r="E102" s="3">
        <v>0</v>
      </c>
      <c r="F102" s="3">
        <v>0</v>
      </c>
      <c r="G102" s="3">
        <v>5.84</v>
      </c>
      <c r="H102" s="3">
        <v>0</v>
      </c>
      <c r="I102" s="3">
        <v>1.82</v>
      </c>
      <c r="J102" s="3">
        <f t="shared" si="6"/>
        <v>-1.82</v>
      </c>
      <c r="K102" s="3">
        <f t="shared" si="7"/>
        <v>1.82</v>
      </c>
      <c r="L102" s="2" cm="1">
        <f t="array" ref="L102">VLOOKUP(A102,$N$1:$O$100,{2},0)</f>
        <v>-0.113</v>
      </c>
    </row>
    <row r="103" spans="1:15" x14ac:dyDescent="0.35">
      <c r="A103" s="1" t="s">
        <v>36</v>
      </c>
      <c r="B103" s="3">
        <v>0</v>
      </c>
      <c r="C103" s="3">
        <v>0</v>
      </c>
      <c r="D103" s="3">
        <v>0</v>
      </c>
      <c r="E103" s="3">
        <v>0</v>
      </c>
      <c r="F103" s="3">
        <v>0</v>
      </c>
      <c r="G103" s="3">
        <v>1.55</v>
      </c>
      <c r="H103" s="3">
        <v>0</v>
      </c>
      <c r="I103" s="3">
        <v>1.17</v>
      </c>
      <c r="J103" s="3">
        <f t="shared" si="6"/>
        <v>-1.17</v>
      </c>
      <c r="K103" s="3">
        <f t="shared" si="7"/>
        <v>1.17</v>
      </c>
      <c r="L103" s="2" cm="1">
        <f t="array" ref="L103">VLOOKUP(A103,$N$1:$O$100,{2},0)</f>
        <v>-0.29930000000000001</v>
      </c>
    </row>
    <row r="104" spans="1:15" x14ac:dyDescent="0.35">
      <c r="A104" s="1" t="s">
        <v>7</v>
      </c>
      <c r="B104" s="3">
        <v>0</v>
      </c>
      <c r="C104" s="3">
        <v>0</v>
      </c>
      <c r="D104" s="3">
        <v>0.55000000000000004</v>
      </c>
      <c r="E104" s="3">
        <v>2.2799999999999998</v>
      </c>
      <c r="F104" s="3">
        <v>2.5099999999999998</v>
      </c>
      <c r="G104" s="3">
        <v>2.62</v>
      </c>
      <c r="H104" s="3">
        <v>2.77</v>
      </c>
      <c r="I104" s="3">
        <v>3.67</v>
      </c>
      <c r="J104" s="3">
        <f t="shared" si="6"/>
        <v>-0.89999999999999991</v>
      </c>
      <c r="K104" s="3">
        <f t="shared" si="7"/>
        <v>0.89999999999999991</v>
      </c>
      <c r="L104" s="2" cm="1">
        <f t="array" ref="L104">VLOOKUP(A104,$N$1:$O$100,{2},0)</f>
        <v>-2.1861000000000002</v>
      </c>
    </row>
    <row r="105" spans="1:15" x14ac:dyDescent="0.3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</row>
    <row r="106" spans="1:15" x14ac:dyDescent="0.35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</row>
    <row r="107" spans="1:15" x14ac:dyDescent="0.35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</row>
    <row r="108" spans="1:15" x14ac:dyDescent="0.35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</row>
    <row r="109" spans="1:15" x14ac:dyDescent="0.35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</row>
    <row r="110" spans="1:15" x14ac:dyDescent="0.35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</row>
    <row r="111" spans="1:15" x14ac:dyDescent="0.35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</row>
    <row r="112" spans="1:15" x14ac:dyDescent="0.35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</row>
    <row r="113" spans="1:11" x14ac:dyDescent="0.35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</row>
    <row r="114" spans="1:11" x14ac:dyDescent="0.35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</row>
    <row r="115" spans="1:11" x14ac:dyDescent="0.3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</row>
    <row r="116" spans="1:11" x14ac:dyDescent="0.35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</row>
    <row r="117" spans="1:11" x14ac:dyDescent="0.35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</row>
    <row r="118" spans="1:11" x14ac:dyDescent="0.35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</row>
    <row r="119" spans="1:11" x14ac:dyDescent="0.35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</row>
    <row r="120" spans="1:11" x14ac:dyDescent="0.35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</row>
    <row r="121" spans="1:11" x14ac:dyDescent="0.35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</row>
    <row r="122" spans="1:11" x14ac:dyDescent="0.35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</row>
    <row r="123" spans="1:11" x14ac:dyDescent="0.35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</row>
    <row r="124" spans="1:11" x14ac:dyDescent="0.35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</row>
    <row r="125" spans="1:11" x14ac:dyDescent="0.3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</row>
    <row r="126" spans="1:11" x14ac:dyDescent="0.35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</row>
    <row r="127" spans="1:11" x14ac:dyDescent="0.35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</row>
    <row r="128" spans="1:11" x14ac:dyDescent="0.35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</row>
    <row r="129" spans="1:11" x14ac:dyDescent="0.35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</row>
    <row r="130" spans="1:11" x14ac:dyDescent="0.35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</row>
    <row r="131" spans="1:11" x14ac:dyDescent="0.35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</row>
    <row r="132" spans="1:11" x14ac:dyDescent="0.35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</row>
    <row r="133" spans="1:11" x14ac:dyDescent="0.35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</row>
    <row r="134" spans="1:11" x14ac:dyDescent="0.35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</row>
    <row r="135" spans="1:11" x14ac:dyDescent="0.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</row>
    <row r="136" spans="1:11" x14ac:dyDescent="0.35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</row>
    <row r="137" spans="1:11" x14ac:dyDescent="0.35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</row>
    <row r="138" spans="1:11" x14ac:dyDescent="0.35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</row>
    <row r="139" spans="1:11" x14ac:dyDescent="0.35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</row>
    <row r="140" spans="1:11" x14ac:dyDescent="0.35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</row>
    <row r="141" spans="1:11" x14ac:dyDescent="0.35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</row>
    <row r="142" spans="1:11" x14ac:dyDescent="0.35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</row>
    <row r="143" spans="1:11" x14ac:dyDescent="0.35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</row>
    <row r="144" spans="1:11" x14ac:dyDescent="0.35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</row>
    <row r="145" spans="1:11" x14ac:dyDescent="0.3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</row>
    <row r="146" spans="1:11" x14ac:dyDescent="0.35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</row>
    <row r="147" spans="1:11" x14ac:dyDescent="0.35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</row>
    <row r="148" spans="1:11" x14ac:dyDescent="0.35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</row>
    <row r="149" spans="1:11" x14ac:dyDescent="0.35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</row>
    <row r="150" spans="1:11" x14ac:dyDescent="0.35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</row>
    <row r="151" spans="1:11" x14ac:dyDescent="0.35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</row>
    <row r="152" spans="1:11" x14ac:dyDescent="0.35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</row>
    <row r="153" spans="1:11" x14ac:dyDescent="0.35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</row>
    <row r="154" spans="1:11" x14ac:dyDescent="0.35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</row>
    <row r="155" spans="1:11" x14ac:dyDescent="0.3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</row>
    <row r="156" spans="1:11" x14ac:dyDescent="0.35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</row>
    <row r="157" spans="1:11" x14ac:dyDescent="0.35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</row>
    <row r="158" spans="1:11" x14ac:dyDescent="0.35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</row>
    <row r="159" spans="1:11" x14ac:dyDescent="0.35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</row>
    <row r="160" spans="1:11" x14ac:dyDescent="0.35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</row>
    <row r="161" spans="1:11" x14ac:dyDescent="0.35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</row>
    <row r="162" spans="1:11" x14ac:dyDescent="0.35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</row>
    <row r="163" spans="1:11" x14ac:dyDescent="0.35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</row>
    <row r="164" spans="1:11" x14ac:dyDescent="0.35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</row>
    <row r="165" spans="1:11" x14ac:dyDescent="0.3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</row>
    <row r="166" spans="1:11" x14ac:dyDescent="0.35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</row>
    <row r="167" spans="1:11" x14ac:dyDescent="0.35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</row>
    <row r="168" spans="1:11" x14ac:dyDescent="0.35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</row>
    <row r="169" spans="1:11" x14ac:dyDescent="0.35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</row>
    <row r="170" spans="1:11" x14ac:dyDescent="0.35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</row>
    <row r="171" spans="1:11" x14ac:dyDescent="0.35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</row>
    <row r="172" spans="1:11" x14ac:dyDescent="0.35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</row>
    <row r="173" spans="1:11" x14ac:dyDescent="0.35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</row>
    <row r="174" spans="1:11" x14ac:dyDescent="0.35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</row>
    <row r="175" spans="1:11" x14ac:dyDescent="0.3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</row>
    <row r="176" spans="1:11" x14ac:dyDescent="0.35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</row>
    <row r="177" spans="1:11" x14ac:dyDescent="0.35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</row>
    <row r="178" spans="1:11" x14ac:dyDescent="0.35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</row>
    <row r="179" spans="1:11" x14ac:dyDescent="0.35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</row>
    <row r="180" spans="1:11" x14ac:dyDescent="0.35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</row>
    <row r="181" spans="1:11" x14ac:dyDescent="0.35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</row>
    <row r="182" spans="1:11" x14ac:dyDescent="0.35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</row>
    <row r="183" spans="1:11" x14ac:dyDescent="0.35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</row>
    <row r="184" spans="1:11" x14ac:dyDescent="0.35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</row>
    <row r="185" spans="1:11" x14ac:dyDescent="0.3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</row>
    <row r="186" spans="1:11" x14ac:dyDescent="0.35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</row>
    <row r="187" spans="1:11" x14ac:dyDescent="0.35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</row>
    <row r="188" spans="1:11" x14ac:dyDescent="0.35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</row>
    <row r="189" spans="1:11" x14ac:dyDescent="0.35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</row>
    <row r="190" spans="1:11" x14ac:dyDescent="0.35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</row>
    <row r="191" spans="1:11" x14ac:dyDescent="0.35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</row>
    <row r="192" spans="1:11" x14ac:dyDescent="0.35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</row>
    <row r="193" spans="1:11" x14ac:dyDescent="0.35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</row>
    <row r="194" spans="1:11" x14ac:dyDescent="0.35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</row>
    <row r="195" spans="1:11" x14ac:dyDescent="0.3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</row>
    <row r="196" spans="1:11" x14ac:dyDescent="0.35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</row>
    <row r="197" spans="1:11" x14ac:dyDescent="0.35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</row>
    <row r="198" spans="1:11" x14ac:dyDescent="0.35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</row>
    <row r="199" spans="1:11" x14ac:dyDescent="0.35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</row>
    <row r="200" spans="1:11" x14ac:dyDescent="0.35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</row>
    <row r="201" spans="1:11" x14ac:dyDescent="0.35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</row>
    <row r="202" spans="1:11" x14ac:dyDescent="0.35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</row>
    <row r="203" spans="1:11" x14ac:dyDescent="0.35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</row>
    <row r="204" spans="1:11" x14ac:dyDescent="0.35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</row>
    <row r="205" spans="1:11" x14ac:dyDescent="0.3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</row>
    <row r="206" spans="1:11" x14ac:dyDescent="0.35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</row>
    <row r="207" spans="1:11" x14ac:dyDescent="0.35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</row>
    <row r="208" spans="1:11" x14ac:dyDescent="0.35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</row>
    <row r="209" spans="1:11" x14ac:dyDescent="0.35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</row>
    <row r="210" spans="1:11" x14ac:dyDescent="0.35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</row>
    <row r="211" spans="1:11" x14ac:dyDescent="0.35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</row>
    <row r="212" spans="1:11" x14ac:dyDescent="0.35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</row>
    <row r="213" spans="1:11" x14ac:dyDescent="0.35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</row>
    <row r="214" spans="1:11" x14ac:dyDescent="0.35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</row>
    <row r="215" spans="1:11" x14ac:dyDescent="0.3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</row>
    <row r="216" spans="1:11" x14ac:dyDescent="0.35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</row>
    <row r="217" spans="1:11" x14ac:dyDescent="0.35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</row>
    <row r="218" spans="1:11" x14ac:dyDescent="0.35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</row>
    <row r="219" spans="1:11" x14ac:dyDescent="0.35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</row>
    <row r="220" spans="1:11" x14ac:dyDescent="0.35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</row>
    <row r="221" spans="1:11" x14ac:dyDescent="0.35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</row>
    <row r="222" spans="1:11" x14ac:dyDescent="0.35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</row>
    <row r="223" spans="1:11" x14ac:dyDescent="0.35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</row>
    <row r="224" spans="1:11" x14ac:dyDescent="0.35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</row>
    <row r="225" spans="1:11" x14ac:dyDescent="0.3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</row>
    <row r="226" spans="1:11" x14ac:dyDescent="0.35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</row>
    <row r="227" spans="1:11" x14ac:dyDescent="0.35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</row>
    <row r="228" spans="1:11" x14ac:dyDescent="0.35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</row>
    <row r="229" spans="1:11" x14ac:dyDescent="0.35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</row>
    <row r="230" spans="1:11" x14ac:dyDescent="0.35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</row>
    <row r="231" spans="1:11" x14ac:dyDescent="0.35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</row>
    <row r="232" spans="1:11" x14ac:dyDescent="0.35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</row>
    <row r="233" spans="1:11" x14ac:dyDescent="0.35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</row>
    <row r="234" spans="1:11" x14ac:dyDescent="0.35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</row>
    <row r="235" spans="1:11" x14ac:dyDescent="0.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</row>
    <row r="236" spans="1:11" x14ac:dyDescent="0.35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</row>
    <row r="237" spans="1:11" x14ac:dyDescent="0.35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</row>
    <row r="238" spans="1:11" x14ac:dyDescent="0.35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</row>
    <row r="239" spans="1:11" x14ac:dyDescent="0.3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</row>
    <row r="240" spans="1:11" x14ac:dyDescent="0.3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</row>
    <row r="241" spans="1:11" x14ac:dyDescent="0.3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</row>
    <row r="242" spans="1:11" x14ac:dyDescent="0.3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</row>
    <row r="243" spans="1:11" x14ac:dyDescent="0.3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</row>
    <row r="244" spans="1:11" x14ac:dyDescent="0.3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</row>
    <row r="245" spans="1:11" x14ac:dyDescent="0.3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</row>
    <row r="246" spans="1:11" x14ac:dyDescent="0.3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</row>
    <row r="247" spans="1:11" x14ac:dyDescent="0.3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</row>
    <row r="248" spans="1:11" x14ac:dyDescent="0.3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</row>
    <row r="249" spans="1:11" x14ac:dyDescent="0.3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</row>
    <row r="250" spans="1:11" x14ac:dyDescent="0.3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</row>
    <row r="251" spans="1:11" x14ac:dyDescent="0.3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</row>
    <row r="252" spans="1:11" x14ac:dyDescent="0.3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</row>
    <row r="253" spans="1:11" x14ac:dyDescent="0.3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</row>
    <row r="254" spans="1:11" x14ac:dyDescent="0.3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</row>
    <row r="255" spans="1:11" x14ac:dyDescent="0.3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</row>
    <row r="256" spans="1:11" x14ac:dyDescent="0.3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</row>
    <row r="257" spans="1:11" x14ac:dyDescent="0.3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</row>
    <row r="258" spans="1:11" x14ac:dyDescent="0.3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</row>
    <row r="259" spans="1:11" x14ac:dyDescent="0.3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</row>
    <row r="260" spans="1:11" x14ac:dyDescent="0.3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</row>
    <row r="261" spans="1:11" x14ac:dyDescent="0.3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</row>
    <row r="262" spans="1:11" x14ac:dyDescent="0.3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</row>
    <row r="263" spans="1:11" x14ac:dyDescent="0.3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</row>
    <row r="264" spans="1:11" x14ac:dyDescent="0.3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</row>
    <row r="265" spans="1:11" x14ac:dyDescent="0.3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</row>
    <row r="266" spans="1:11" x14ac:dyDescent="0.3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</row>
    <row r="267" spans="1:11" x14ac:dyDescent="0.3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</row>
    <row r="268" spans="1:11" x14ac:dyDescent="0.3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</row>
    <row r="269" spans="1:11" x14ac:dyDescent="0.3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</row>
    <row r="270" spans="1:11" x14ac:dyDescent="0.3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</row>
    <row r="271" spans="1:11" x14ac:dyDescent="0.3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</row>
    <row r="272" spans="1:11" x14ac:dyDescent="0.3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</row>
    <row r="273" spans="1:11" x14ac:dyDescent="0.3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</row>
    <row r="274" spans="1:11" x14ac:dyDescent="0.3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</row>
    <row r="275" spans="1:11" x14ac:dyDescent="0.3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</row>
    <row r="276" spans="1:11" x14ac:dyDescent="0.3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</row>
    <row r="277" spans="1:11" x14ac:dyDescent="0.3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</row>
    <row r="278" spans="1:11" x14ac:dyDescent="0.3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</row>
    <row r="279" spans="1:11" x14ac:dyDescent="0.3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</row>
    <row r="280" spans="1:11" x14ac:dyDescent="0.3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</row>
    <row r="281" spans="1:11" x14ac:dyDescent="0.3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</row>
    <row r="282" spans="1:11" x14ac:dyDescent="0.3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</row>
    <row r="283" spans="1:11" x14ac:dyDescent="0.3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</row>
    <row r="284" spans="1:11" x14ac:dyDescent="0.3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</row>
    <row r="285" spans="1:11" x14ac:dyDescent="0.3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</row>
    <row r="286" spans="1:11" x14ac:dyDescent="0.3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</row>
    <row r="287" spans="1:11" x14ac:dyDescent="0.3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</row>
    <row r="288" spans="1:11" x14ac:dyDescent="0.3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</row>
    <row r="289" spans="1:11" x14ac:dyDescent="0.3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</row>
    <row r="290" spans="1:11" x14ac:dyDescent="0.3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</row>
    <row r="291" spans="1:11" x14ac:dyDescent="0.3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</row>
    <row r="292" spans="1:11" x14ac:dyDescent="0.3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</row>
    <row r="293" spans="1:11" x14ac:dyDescent="0.3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</row>
    <row r="294" spans="1:11" x14ac:dyDescent="0.3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</row>
    <row r="295" spans="1:11" x14ac:dyDescent="0.3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</row>
    <row r="296" spans="1:11" x14ac:dyDescent="0.3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</row>
    <row r="297" spans="1:11" x14ac:dyDescent="0.3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</row>
    <row r="298" spans="1:11" x14ac:dyDescent="0.3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</row>
    <row r="299" spans="1:11" x14ac:dyDescent="0.3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</row>
    <row r="300" spans="1:11" x14ac:dyDescent="0.3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</row>
    <row r="301" spans="1:11" x14ac:dyDescent="0.3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</row>
    <row r="302" spans="1:11" x14ac:dyDescent="0.3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</row>
    <row r="303" spans="1:11" x14ac:dyDescent="0.3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</row>
    <row r="304" spans="1:11" x14ac:dyDescent="0.3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</row>
    <row r="305" spans="1:11" x14ac:dyDescent="0.3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</row>
    <row r="306" spans="1:11" x14ac:dyDescent="0.3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</row>
    <row r="307" spans="1:11" x14ac:dyDescent="0.3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</row>
    <row r="308" spans="1:11" x14ac:dyDescent="0.3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</row>
    <row r="309" spans="1:11" x14ac:dyDescent="0.3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</row>
    <row r="310" spans="1:11" x14ac:dyDescent="0.3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</row>
    <row r="311" spans="1:11" x14ac:dyDescent="0.3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</row>
    <row r="312" spans="1:11" x14ac:dyDescent="0.3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</row>
    <row r="313" spans="1:11" x14ac:dyDescent="0.3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</row>
    <row r="314" spans="1:11" x14ac:dyDescent="0.3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</row>
    <row r="315" spans="1:11" x14ac:dyDescent="0.3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</row>
    <row r="316" spans="1:11" x14ac:dyDescent="0.3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</row>
    <row r="317" spans="1:11" x14ac:dyDescent="0.3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</row>
    <row r="318" spans="1:11" x14ac:dyDescent="0.3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</row>
    <row r="319" spans="1:11" x14ac:dyDescent="0.3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</row>
    <row r="320" spans="1:11" x14ac:dyDescent="0.3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</row>
    <row r="321" spans="1:11" x14ac:dyDescent="0.3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</row>
    <row r="322" spans="1:11" x14ac:dyDescent="0.3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</row>
    <row r="323" spans="1:11" x14ac:dyDescent="0.3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</row>
    <row r="324" spans="1:11" x14ac:dyDescent="0.3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</row>
    <row r="325" spans="1:11" x14ac:dyDescent="0.3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</row>
    <row r="326" spans="1:11" x14ac:dyDescent="0.3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</row>
    <row r="327" spans="1:11" x14ac:dyDescent="0.3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</row>
    <row r="328" spans="1:11" x14ac:dyDescent="0.3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</row>
    <row r="329" spans="1:11" x14ac:dyDescent="0.3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</row>
    <row r="330" spans="1:11" x14ac:dyDescent="0.3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</row>
    <row r="331" spans="1:11" x14ac:dyDescent="0.3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</row>
    <row r="332" spans="1:11" x14ac:dyDescent="0.3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</row>
    <row r="333" spans="1:11" x14ac:dyDescent="0.3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</row>
    <row r="334" spans="1:11" x14ac:dyDescent="0.3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</row>
    <row r="335" spans="1:11" x14ac:dyDescent="0.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</row>
    <row r="336" spans="1:11" x14ac:dyDescent="0.3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</row>
    <row r="337" spans="1:11" x14ac:dyDescent="0.3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</row>
    <row r="338" spans="1:11" x14ac:dyDescent="0.3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</row>
    <row r="339" spans="1:11" x14ac:dyDescent="0.3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</row>
    <row r="340" spans="1:11" x14ac:dyDescent="0.3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</row>
    <row r="341" spans="1:11" x14ac:dyDescent="0.3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</row>
    <row r="342" spans="1:11" x14ac:dyDescent="0.3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</row>
    <row r="343" spans="1:11" x14ac:dyDescent="0.3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</row>
    <row r="344" spans="1:11" x14ac:dyDescent="0.3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</row>
    <row r="345" spans="1:11" x14ac:dyDescent="0.3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</row>
    <row r="346" spans="1:11" x14ac:dyDescent="0.3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</row>
    <row r="347" spans="1:11" x14ac:dyDescent="0.3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</row>
    <row r="348" spans="1:11" x14ac:dyDescent="0.3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</row>
    <row r="349" spans="1:11" x14ac:dyDescent="0.3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</row>
    <row r="350" spans="1:11" x14ac:dyDescent="0.3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</row>
    <row r="351" spans="1:11" x14ac:dyDescent="0.3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</row>
    <row r="352" spans="1:11" x14ac:dyDescent="0.3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</row>
    <row r="353" spans="1:11" x14ac:dyDescent="0.3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</row>
    <row r="354" spans="1:11" x14ac:dyDescent="0.3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</row>
    <row r="355" spans="1:11" x14ac:dyDescent="0.3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</row>
    <row r="356" spans="1:11" x14ac:dyDescent="0.3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</row>
    <row r="357" spans="1:11" x14ac:dyDescent="0.35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</row>
    <row r="358" spans="1:11" x14ac:dyDescent="0.35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</row>
    <row r="359" spans="1:11" x14ac:dyDescent="0.35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</row>
    <row r="360" spans="1:11" x14ac:dyDescent="0.35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</row>
    <row r="361" spans="1:11" x14ac:dyDescent="0.35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</row>
    <row r="362" spans="1:11" x14ac:dyDescent="0.35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</row>
    <row r="363" spans="1:11" x14ac:dyDescent="0.35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</row>
    <row r="364" spans="1:11" x14ac:dyDescent="0.35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</row>
    <row r="365" spans="1:11" x14ac:dyDescent="0.3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</row>
    <row r="366" spans="1:11" x14ac:dyDescent="0.35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</row>
    <row r="367" spans="1:11" x14ac:dyDescent="0.35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</row>
    <row r="368" spans="1:11" x14ac:dyDescent="0.35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</row>
    <row r="369" spans="1:11" x14ac:dyDescent="0.35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</row>
    <row r="370" spans="1:11" x14ac:dyDescent="0.35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</row>
    <row r="371" spans="1:11" x14ac:dyDescent="0.35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</row>
    <row r="372" spans="1:11" x14ac:dyDescent="0.35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</row>
    <row r="373" spans="1:11" x14ac:dyDescent="0.35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</row>
    <row r="374" spans="1:11" x14ac:dyDescent="0.35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</row>
    <row r="375" spans="1:11" x14ac:dyDescent="0.3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</row>
    <row r="376" spans="1:11" x14ac:dyDescent="0.35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</row>
    <row r="377" spans="1:11" x14ac:dyDescent="0.35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</row>
    <row r="378" spans="1:11" x14ac:dyDescent="0.35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</row>
    <row r="379" spans="1:11" x14ac:dyDescent="0.35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</row>
    <row r="380" spans="1:11" x14ac:dyDescent="0.35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</row>
    <row r="381" spans="1:11" x14ac:dyDescent="0.35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</row>
    <row r="382" spans="1:11" x14ac:dyDescent="0.35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</row>
    <row r="383" spans="1:11" x14ac:dyDescent="0.35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</row>
    <row r="384" spans="1:11" x14ac:dyDescent="0.35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</row>
    <row r="385" spans="1:11" x14ac:dyDescent="0.3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</row>
    <row r="386" spans="1:11" x14ac:dyDescent="0.35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</row>
    <row r="387" spans="1:11" x14ac:dyDescent="0.35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</row>
    <row r="388" spans="1:11" x14ac:dyDescent="0.35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</row>
    <row r="389" spans="1:11" x14ac:dyDescent="0.35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</row>
    <row r="390" spans="1:11" x14ac:dyDescent="0.35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</row>
    <row r="391" spans="1:11" x14ac:dyDescent="0.35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</row>
    <row r="392" spans="1:11" x14ac:dyDescent="0.35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</row>
    <row r="393" spans="1:11" x14ac:dyDescent="0.35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</row>
    <row r="394" spans="1:11" x14ac:dyDescent="0.35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</row>
    <row r="395" spans="1:11" x14ac:dyDescent="0.3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</row>
    <row r="396" spans="1:11" x14ac:dyDescent="0.35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</row>
    <row r="397" spans="1:11" x14ac:dyDescent="0.35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</row>
    <row r="398" spans="1:11" x14ac:dyDescent="0.35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</row>
    <row r="399" spans="1:11" x14ac:dyDescent="0.35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</row>
    <row r="400" spans="1:11" x14ac:dyDescent="0.35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</row>
    <row r="401" spans="1:11" x14ac:dyDescent="0.35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</row>
    <row r="402" spans="1:11" x14ac:dyDescent="0.35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</row>
    <row r="403" spans="1:11" x14ac:dyDescent="0.35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</row>
    <row r="404" spans="1:11" x14ac:dyDescent="0.35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</row>
    <row r="405" spans="1:11" x14ac:dyDescent="0.3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</row>
    <row r="406" spans="1:11" x14ac:dyDescent="0.35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</row>
    <row r="407" spans="1:11" x14ac:dyDescent="0.35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</row>
    <row r="408" spans="1:11" x14ac:dyDescent="0.35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</row>
    <row r="409" spans="1:11" x14ac:dyDescent="0.35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</row>
    <row r="410" spans="1:11" x14ac:dyDescent="0.35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</row>
    <row r="411" spans="1:11" x14ac:dyDescent="0.35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</row>
    <row r="412" spans="1:11" x14ac:dyDescent="0.35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</row>
    <row r="413" spans="1:11" x14ac:dyDescent="0.35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</row>
    <row r="414" spans="1:11" x14ac:dyDescent="0.35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</row>
    <row r="415" spans="1:11" x14ac:dyDescent="0.3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</row>
    <row r="416" spans="1:11" x14ac:dyDescent="0.35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</row>
    <row r="417" spans="1:11" x14ac:dyDescent="0.35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</row>
    <row r="418" spans="1:11" x14ac:dyDescent="0.35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</row>
    <row r="419" spans="1:11" x14ac:dyDescent="0.35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</row>
    <row r="420" spans="1:11" x14ac:dyDescent="0.35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</row>
    <row r="421" spans="1:11" x14ac:dyDescent="0.35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</row>
    <row r="422" spans="1:11" x14ac:dyDescent="0.35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</row>
    <row r="423" spans="1:11" x14ac:dyDescent="0.35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</row>
    <row r="424" spans="1:11" x14ac:dyDescent="0.35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</row>
    <row r="425" spans="1:11" x14ac:dyDescent="0.3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</row>
    <row r="426" spans="1:11" x14ac:dyDescent="0.35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</row>
    <row r="427" spans="1:11" x14ac:dyDescent="0.35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</row>
    <row r="428" spans="1:11" x14ac:dyDescent="0.35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</row>
    <row r="429" spans="1:11" x14ac:dyDescent="0.35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</row>
    <row r="430" spans="1:11" x14ac:dyDescent="0.35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</row>
    <row r="431" spans="1:11" x14ac:dyDescent="0.35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</row>
    <row r="432" spans="1:11" x14ac:dyDescent="0.35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</row>
    <row r="433" spans="1:11" x14ac:dyDescent="0.35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</row>
    <row r="434" spans="1:11" x14ac:dyDescent="0.35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</row>
    <row r="435" spans="1:11" x14ac:dyDescent="0.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</row>
    <row r="436" spans="1:11" x14ac:dyDescent="0.35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</row>
    <row r="437" spans="1:11" x14ac:dyDescent="0.35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</row>
    <row r="438" spans="1:11" x14ac:dyDescent="0.35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</row>
    <row r="439" spans="1:11" x14ac:dyDescent="0.35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</row>
    <row r="440" spans="1:11" x14ac:dyDescent="0.35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</row>
    <row r="441" spans="1:11" x14ac:dyDescent="0.35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</row>
    <row r="442" spans="1:11" x14ac:dyDescent="0.35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</row>
    <row r="443" spans="1:11" x14ac:dyDescent="0.35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</row>
    <row r="444" spans="1:11" x14ac:dyDescent="0.35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</row>
    <row r="445" spans="1:11" x14ac:dyDescent="0.3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</row>
    <row r="446" spans="1:11" x14ac:dyDescent="0.35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</row>
    <row r="447" spans="1:11" x14ac:dyDescent="0.35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</row>
    <row r="448" spans="1:11" x14ac:dyDescent="0.35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</row>
    <row r="449" spans="1:11" x14ac:dyDescent="0.35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</row>
    <row r="450" spans="1:11" x14ac:dyDescent="0.35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</row>
    <row r="451" spans="1:11" x14ac:dyDescent="0.35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</row>
    <row r="452" spans="1:11" x14ac:dyDescent="0.35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</row>
    <row r="453" spans="1:11" x14ac:dyDescent="0.35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</row>
    <row r="454" spans="1:11" x14ac:dyDescent="0.35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</row>
    <row r="455" spans="1:11" x14ac:dyDescent="0.3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</row>
    <row r="456" spans="1:11" x14ac:dyDescent="0.35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</row>
    <row r="457" spans="1:11" x14ac:dyDescent="0.35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</row>
    <row r="458" spans="1:11" x14ac:dyDescent="0.35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</row>
    <row r="459" spans="1:11" x14ac:dyDescent="0.35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</row>
    <row r="460" spans="1:11" x14ac:dyDescent="0.35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</row>
    <row r="461" spans="1:11" x14ac:dyDescent="0.35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</row>
    <row r="462" spans="1:11" x14ac:dyDescent="0.35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</row>
    <row r="463" spans="1:11" x14ac:dyDescent="0.35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</row>
    <row r="464" spans="1:11" x14ac:dyDescent="0.35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</row>
    <row r="465" spans="1:11" x14ac:dyDescent="0.3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</row>
    <row r="466" spans="1:11" x14ac:dyDescent="0.35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</row>
    <row r="467" spans="1:11" x14ac:dyDescent="0.35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</row>
    <row r="468" spans="1:11" x14ac:dyDescent="0.35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</row>
    <row r="469" spans="1:11" x14ac:dyDescent="0.35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</row>
    <row r="470" spans="1:11" x14ac:dyDescent="0.35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</row>
    <row r="471" spans="1:11" x14ac:dyDescent="0.35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</row>
    <row r="472" spans="1:11" x14ac:dyDescent="0.35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</row>
    <row r="473" spans="1:11" x14ac:dyDescent="0.35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</row>
    <row r="474" spans="1:11" x14ac:dyDescent="0.35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</row>
    <row r="475" spans="1:11" x14ac:dyDescent="0.3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</row>
    <row r="476" spans="1:11" x14ac:dyDescent="0.35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</row>
    <row r="477" spans="1:11" x14ac:dyDescent="0.35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</row>
    <row r="478" spans="1:11" x14ac:dyDescent="0.35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</row>
    <row r="479" spans="1:11" x14ac:dyDescent="0.35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</row>
    <row r="480" spans="1:11" x14ac:dyDescent="0.35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</row>
    <row r="481" spans="1:11" x14ac:dyDescent="0.35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</row>
    <row r="482" spans="1:11" x14ac:dyDescent="0.35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</row>
    <row r="483" spans="1:11" x14ac:dyDescent="0.35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</row>
    <row r="484" spans="1:11" x14ac:dyDescent="0.35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</row>
    <row r="485" spans="1:11" x14ac:dyDescent="0.3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</row>
    <row r="486" spans="1:11" x14ac:dyDescent="0.35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</row>
    <row r="487" spans="1:11" x14ac:dyDescent="0.35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</row>
    <row r="488" spans="1:11" x14ac:dyDescent="0.35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</row>
    <row r="489" spans="1:11" x14ac:dyDescent="0.35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</row>
    <row r="490" spans="1:11" x14ac:dyDescent="0.35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</row>
    <row r="491" spans="1:11" x14ac:dyDescent="0.35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</row>
    <row r="492" spans="1:11" x14ac:dyDescent="0.35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</row>
    <row r="493" spans="1:11" x14ac:dyDescent="0.35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</row>
    <row r="494" spans="1:11" x14ac:dyDescent="0.35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</row>
    <row r="495" spans="1:11" x14ac:dyDescent="0.3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</row>
    <row r="496" spans="1:11" x14ac:dyDescent="0.35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</row>
    <row r="497" spans="1:11" x14ac:dyDescent="0.35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</row>
    <row r="498" spans="1:11" x14ac:dyDescent="0.35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</row>
    <row r="499" spans="1:11" x14ac:dyDescent="0.35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</row>
    <row r="500" spans="1:11" x14ac:dyDescent="0.35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</row>
    <row r="501" spans="1:11" x14ac:dyDescent="0.35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</row>
    <row r="502" spans="1:11" x14ac:dyDescent="0.35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</row>
    <row r="503" spans="1:11" x14ac:dyDescent="0.35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</row>
    <row r="504" spans="1:11" x14ac:dyDescent="0.35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</row>
    <row r="505" spans="1:11" x14ac:dyDescent="0.3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</row>
    <row r="506" spans="1:11" x14ac:dyDescent="0.35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</row>
    <row r="507" spans="1:11" x14ac:dyDescent="0.35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</row>
    <row r="508" spans="1:11" x14ac:dyDescent="0.35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</row>
    <row r="509" spans="1:11" x14ac:dyDescent="0.35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</row>
    <row r="510" spans="1:11" x14ac:dyDescent="0.35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</row>
    <row r="511" spans="1:11" x14ac:dyDescent="0.35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</row>
    <row r="512" spans="1:11" x14ac:dyDescent="0.35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</row>
    <row r="513" spans="1:11" x14ac:dyDescent="0.35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</row>
    <row r="514" spans="1:11" x14ac:dyDescent="0.35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</row>
    <row r="515" spans="1:11" x14ac:dyDescent="0.3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</row>
    <row r="516" spans="1:11" x14ac:dyDescent="0.35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</row>
    <row r="517" spans="1:11" x14ac:dyDescent="0.35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</row>
    <row r="518" spans="1:11" x14ac:dyDescent="0.35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</row>
    <row r="519" spans="1:11" x14ac:dyDescent="0.35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</row>
    <row r="520" spans="1:11" x14ac:dyDescent="0.35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</row>
    <row r="521" spans="1:11" x14ac:dyDescent="0.35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</row>
    <row r="522" spans="1:11" x14ac:dyDescent="0.35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</row>
    <row r="523" spans="1:11" x14ac:dyDescent="0.35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</row>
    <row r="524" spans="1:11" x14ac:dyDescent="0.35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</row>
    <row r="525" spans="1:11" x14ac:dyDescent="0.3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</row>
    <row r="526" spans="1:11" x14ac:dyDescent="0.35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</row>
    <row r="527" spans="1:11" x14ac:dyDescent="0.35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</row>
    <row r="528" spans="1:11" x14ac:dyDescent="0.35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</row>
    <row r="529" spans="1:11" x14ac:dyDescent="0.35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</row>
    <row r="530" spans="1:11" x14ac:dyDescent="0.35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</row>
    <row r="531" spans="1:11" x14ac:dyDescent="0.35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</row>
    <row r="532" spans="1:11" x14ac:dyDescent="0.35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</row>
    <row r="533" spans="1:11" x14ac:dyDescent="0.35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</row>
    <row r="534" spans="1:11" x14ac:dyDescent="0.35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</row>
    <row r="535" spans="1:11" x14ac:dyDescent="0.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</row>
    <row r="536" spans="1:11" x14ac:dyDescent="0.35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</row>
    <row r="537" spans="1:11" x14ac:dyDescent="0.35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</row>
    <row r="538" spans="1:11" x14ac:dyDescent="0.35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</row>
    <row r="539" spans="1:11" x14ac:dyDescent="0.35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</row>
    <row r="540" spans="1:11" x14ac:dyDescent="0.35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</row>
    <row r="541" spans="1:11" x14ac:dyDescent="0.35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</row>
    <row r="542" spans="1:11" x14ac:dyDescent="0.35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</row>
    <row r="543" spans="1:11" x14ac:dyDescent="0.35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</row>
    <row r="544" spans="1:11" x14ac:dyDescent="0.35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</row>
    <row r="545" spans="1:11" x14ac:dyDescent="0.3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</row>
    <row r="546" spans="1:11" x14ac:dyDescent="0.35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</row>
    <row r="547" spans="1:11" x14ac:dyDescent="0.35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</row>
    <row r="548" spans="1:11" x14ac:dyDescent="0.35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</row>
    <row r="549" spans="1:11" x14ac:dyDescent="0.35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</row>
    <row r="550" spans="1:11" x14ac:dyDescent="0.35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</row>
    <row r="551" spans="1:11" x14ac:dyDescent="0.35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</row>
    <row r="552" spans="1:11" x14ac:dyDescent="0.35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</row>
    <row r="553" spans="1:11" x14ac:dyDescent="0.35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</row>
    <row r="554" spans="1:11" x14ac:dyDescent="0.35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</row>
    <row r="555" spans="1:11" x14ac:dyDescent="0.3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</row>
    <row r="556" spans="1:11" x14ac:dyDescent="0.35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</row>
    <row r="557" spans="1:11" x14ac:dyDescent="0.35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</row>
    <row r="558" spans="1:11" x14ac:dyDescent="0.35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</row>
    <row r="559" spans="1:11" x14ac:dyDescent="0.35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</row>
    <row r="560" spans="1:11" x14ac:dyDescent="0.35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</row>
    <row r="561" spans="1:11" x14ac:dyDescent="0.35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</row>
    <row r="562" spans="1:11" x14ac:dyDescent="0.35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</row>
    <row r="563" spans="1:11" x14ac:dyDescent="0.35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</row>
    <row r="564" spans="1:11" x14ac:dyDescent="0.35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</row>
    <row r="565" spans="1:11" x14ac:dyDescent="0.3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</row>
    <row r="566" spans="1:11" x14ac:dyDescent="0.35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</row>
    <row r="567" spans="1:11" x14ac:dyDescent="0.35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</row>
    <row r="568" spans="1:11" x14ac:dyDescent="0.35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</row>
    <row r="569" spans="1:11" x14ac:dyDescent="0.35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</row>
    <row r="570" spans="1:11" x14ac:dyDescent="0.35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</row>
    <row r="571" spans="1:11" x14ac:dyDescent="0.35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</row>
    <row r="572" spans="1:11" x14ac:dyDescent="0.35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</row>
    <row r="573" spans="1:11" x14ac:dyDescent="0.35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</row>
    <row r="574" spans="1:11" x14ac:dyDescent="0.35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</row>
    <row r="575" spans="1:11" x14ac:dyDescent="0.3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</row>
    <row r="576" spans="1:11" x14ac:dyDescent="0.35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</row>
    <row r="577" spans="1:11" x14ac:dyDescent="0.35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</row>
    <row r="578" spans="1:11" x14ac:dyDescent="0.35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</row>
    <row r="579" spans="1:11" x14ac:dyDescent="0.35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</row>
    <row r="580" spans="1:11" x14ac:dyDescent="0.35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</row>
    <row r="581" spans="1:11" x14ac:dyDescent="0.35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</row>
    <row r="582" spans="1:11" x14ac:dyDescent="0.35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</row>
    <row r="583" spans="1:11" x14ac:dyDescent="0.35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</row>
    <row r="584" spans="1:11" x14ac:dyDescent="0.35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</row>
    <row r="585" spans="1:11" x14ac:dyDescent="0.3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</row>
    <row r="586" spans="1:11" x14ac:dyDescent="0.35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</row>
    <row r="587" spans="1:11" x14ac:dyDescent="0.35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</row>
    <row r="588" spans="1:11" x14ac:dyDescent="0.35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</row>
    <row r="589" spans="1:11" x14ac:dyDescent="0.35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</row>
    <row r="590" spans="1:11" x14ac:dyDescent="0.35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</row>
    <row r="591" spans="1:11" x14ac:dyDescent="0.35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</row>
    <row r="592" spans="1:11" x14ac:dyDescent="0.35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</row>
    <row r="593" spans="1:11" x14ac:dyDescent="0.35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</row>
    <row r="594" spans="1:11" x14ac:dyDescent="0.35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</row>
    <row r="595" spans="1:11" x14ac:dyDescent="0.3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</row>
    <row r="596" spans="1:11" x14ac:dyDescent="0.35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</row>
    <row r="597" spans="1:11" x14ac:dyDescent="0.35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</row>
    <row r="598" spans="1:11" x14ac:dyDescent="0.35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</row>
    <row r="599" spans="1:11" x14ac:dyDescent="0.35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</row>
    <row r="600" spans="1:11" x14ac:dyDescent="0.35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</row>
    <row r="601" spans="1:11" x14ac:dyDescent="0.35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</row>
    <row r="602" spans="1:11" x14ac:dyDescent="0.35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</row>
    <row r="603" spans="1:11" x14ac:dyDescent="0.35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</row>
    <row r="604" spans="1:11" x14ac:dyDescent="0.35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</row>
    <row r="605" spans="1:11" x14ac:dyDescent="0.3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</row>
    <row r="606" spans="1:11" x14ac:dyDescent="0.35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</row>
    <row r="607" spans="1:11" x14ac:dyDescent="0.35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</row>
    <row r="608" spans="1:11" x14ac:dyDescent="0.35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</row>
    <row r="609" spans="1:11" x14ac:dyDescent="0.35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</row>
    <row r="610" spans="1:11" x14ac:dyDescent="0.35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</row>
    <row r="611" spans="1:11" x14ac:dyDescent="0.35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</row>
    <row r="612" spans="1:11" x14ac:dyDescent="0.35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</row>
    <row r="613" spans="1:11" x14ac:dyDescent="0.35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</row>
    <row r="614" spans="1:11" x14ac:dyDescent="0.35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</row>
    <row r="615" spans="1:11" x14ac:dyDescent="0.3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</row>
    <row r="616" spans="1:11" x14ac:dyDescent="0.35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</row>
    <row r="617" spans="1:11" x14ac:dyDescent="0.35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</row>
    <row r="618" spans="1:11" x14ac:dyDescent="0.35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</row>
    <row r="619" spans="1:11" x14ac:dyDescent="0.35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</row>
    <row r="620" spans="1:11" x14ac:dyDescent="0.35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</row>
    <row r="621" spans="1:11" x14ac:dyDescent="0.35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</row>
    <row r="622" spans="1:11" x14ac:dyDescent="0.35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</row>
    <row r="623" spans="1:11" x14ac:dyDescent="0.35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</row>
    <row r="624" spans="1:11" x14ac:dyDescent="0.35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</row>
    <row r="625" spans="1:11" x14ac:dyDescent="0.3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</row>
    <row r="626" spans="1:11" x14ac:dyDescent="0.35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</row>
    <row r="627" spans="1:11" x14ac:dyDescent="0.35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</row>
    <row r="628" spans="1:11" x14ac:dyDescent="0.35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</row>
    <row r="629" spans="1:11" x14ac:dyDescent="0.35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</row>
    <row r="630" spans="1:11" x14ac:dyDescent="0.35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</row>
    <row r="631" spans="1:11" x14ac:dyDescent="0.35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</row>
    <row r="632" spans="1:11" x14ac:dyDescent="0.35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</row>
    <row r="633" spans="1:11" x14ac:dyDescent="0.35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</row>
    <row r="634" spans="1:11" x14ac:dyDescent="0.35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</row>
    <row r="635" spans="1:11" x14ac:dyDescent="0.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</row>
    <row r="636" spans="1:11" x14ac:dyDescent="0.35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</row>
    <row r="637" spans="1:11" x14ac:dyDescent="0.35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</row>
    <row r="638" spans="1:11" x14ac:dyDescent="0.35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</row>
    <row r="639" spans="1:11" x14ac:dyDescent="0.35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</row>
    <row r="640" spans="1:11" x14ac:dyDescent="0.35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</row>
    <row r="641" spans="1:11" x14ac:dyDescent="0.35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</row>
    <row r="642" spans="1:11" x14ac:dyDescent="0.35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</row>
    <row r="643" spans="1:11" x14ac:dyDescent="0.35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</row>
    <row r="644" spans="1:11" x14ac:dyDescent="0.35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</row>
    <row r="645" spans="1:11" x14ac:dyDescent="0.3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</row>
    <row r="646" spans="1:11" x14ac:dyDescent="0.35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</row>
    <row r="647" spans="1:11" x14ac:dyDescent="0.35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</row>
    <row r="648" spans="1:11" x14ac:dyDescent="0.35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</row>
    <row r="649" spans="1:11" x14ac:dyDescent="0.35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</row>
    <row r="650" spans="1:11" x14ac:dyDescent="0.35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</row>
    <row r="651" spans="1:11" x14ac:dyDescent="0.35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</row>
    <row r="652" spans="1:11" x14ac:dyDescent="0.35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</row>
    <row r="653" spans="1:11" x14ac:dyDescent="0.35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</row>
    <row r="654" spans="1:11" x14ac:dyDescent="0.35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</row>
    <row r="655" spans="1:11" x14ac:dyDescent="0.3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</row>
    <row r="656" spans="1:11" x14ac:dyDescent="0.35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</row>
    <row r="657" spans="1:11" x14ac:dyDescent="0.35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</row>
    <row r="658" spans="1:11" x14ac:dyDescent="0.35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</row>
    <row r="659" spans="1:11" x14ac:dyDescent="0.35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</row>
    <row r="660" spans="1:11" x14ac:dyDescent="0.35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</row>
    <row r="661" spans="1:11" x14ac:dyDescent="0.35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</row>
    <row r="662" spans="1:11" x14ac:dyDescent="0.35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</row>
    <row r="663" spans="1:11" x14ac:dyDescent="0.35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</row>
    <row r="664" spans="1:11" x14ac:dyDescent="0.35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</row>
    <row r="665" spans="1:11" x14ac:dyDescent="0.3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</row>
    <row r="666" spans="1:11" x14ac:dyDescent="0.35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</row>
    <row r="667" spans="1:11" x14ac:dyDescent="0.35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</row>
    <row r="668" spans="1:11" x14ac:dyDescent="0.35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</row>
    <row r="669" spans="1:11" x14ac:dyDescent="0.35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</row>
    <row r="670" spans="1:11" x14ac:dyDescent="0.35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</row>
    <row r="671" spans="1:11" x14ac:dyDescent="0.35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</row>
    <row r="672" spans="1:11" x14ac:dyDescent="0.35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</row>
    <row r="673" spans="1:11" x14ac:dyDescent="0.35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</row>
    <row r="674" spans="1:11" x14ac:dyDescent="0.35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</row>
    <row r="675" spans="1:11" x14ac:dyDescent="0.3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</row>
    <row r="676" spans="1:11" x14ac:dyDescent="0.35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</row>
    <row r="677" spans="1:11" x14ac:dyDescent="0.35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</row>
    <row r="678" spans="1:11" x14ac:dyDescent="0.35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</row>
    <row r="679" spans="1:11" x14ac:dyDescent="0.35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</row>
    <row r="680" spans="1:11" x14ac:dyDescent="0.35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</row>
    <row r="681" spans="1:11" x14ac:dyDescent="0.35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</row>
    <row r="682" spans="1:11" x14ac:dyDescent="0.35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</row>
    <row r="683" spans="1:11" x14ac:dyDescent="0.35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</row>
    <row r="684" spans="1:11" x14ac:dyDescent="0.35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</row>
    <row r="685" spans="1:11" x14ac:dyDescent="0.3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</row>
    <row r="686" spans="1:11" x14ac:dyDescent="0.35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</row>
    <row r="687" spans="1:11" x14ac:dyDescent="0.35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</row>
    <row r="688" spans="1:11" x14ac:dyDescent="0.35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</row>
    <row r="689" spans="1:11" x14ac:dyDescent="0.35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</row>
    <row r="690" spans="1:11" x14ac:dyDescent="0.35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</row>
    <row r="691" spans="1:11" x14ac:dyDescent="0.35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</row>
    <row r="692" spans="1:11" x14ac:dyDescent="0.35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</row>
    <row r="693" spans="1:11" x14ac:dyDescent="0.35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</row>
    <row r="694" spans="1:11" x14ac:dyDescent="0.35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</row>
    <row r="695" spans="1:11" x14ac:dyDescent="0.3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</row>
    <row r="696" spans="1:11" x14ac:dyDescent="0.35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</row>
    <row r="697" spans="1:11" x14ac:dyDescent="0.35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</row>
    <row r="698" spans="1:11" x14ac:dyDescent="0.35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</row>
    <row r="699" spans="1:11" x14ac:dyDescent="0.35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</row>
    <row r="700" spans="1:11" x14ac:dyDescent="0.35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</row>
    <row r="701" spans="1:11" x14ac:dyDescent="0.35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</row>
    <row r="702" spans="1:11" x14ac:dyDescent="0.35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</row>
    <row r="703" spans="1:11" x14ac:dyDescent="0.35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</row>
    <row r="704" spans="1:11" x14ac:dyDescent="0.35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</row>
    <row r="705" spans="1:11" x14ac:dyDescent="0.3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</row>
    <row r="706" spans="1:11" x14ac:dyDescent="0.35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</row>
    <row r="707" spans="1:11" x14ac:dyDescent="0.35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</row>
    <row r="708" spans="1:11" x14ac:dyDescent="0.35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</row>
    <row r="709" spans="1:11" x14ac:dyDescent="0.35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</row>
    <row r="710" spans="1:11" x14ac:dyDescent="0.35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</row>
    <row r="711" spans="1:11" x14ac:dyDescent="0.35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</row>
    <row r="712" spans="1:11" x14ac:dyDescent="0.35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</row>
    <row r="713" spans="1:11" x14ac:dyDescent="0.35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</row>
    <row r="714" spans="1:11" x14ac:dyDescent="0.35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</row>
    <row r="715" spans="1:11" x14ac:dyDescent="0.3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</row>
    <row r="716" spans="1:11" x14ac:dyDescent="0.35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</row>
    <row r="717" spans="1:11" x14ac:dyDescent="0.35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</row>
    <row r="718" spans="1:11" x14ac:dyDescent="0.35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</row>
    <row r="719" spans="1:11" x14ac:dyDescent="0.35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</row>
    <row r="720" spans="1:11" x14ac:dyDescent="0.35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</row>
    <row r="721" spans="1:11" x14ac:dyDescent="0.35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</row>
    <row r="722" spans="1:11" x14ac:dyDescent="0.35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</row>
    <row r="723" spans="1:11" x14ac:dyDescent="0.35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</row>
    <row r="724" spans="1:11" x14ac:dyDescent="0.35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</row>
    <row r="725" spans="1:11" x14ac:dyDescent="0.3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</row>
    <row r="726" spans="1:11" x14ac:dyDescent="0.35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</row>
    <row r="727" spans="1:11" x14ac:dyDescent="0.35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</row>
    <row r="728" spans="1:11" x14ac:dyDescent="0.35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</row>
    <row r="729" spans="1:11" x14ac:dyDescent="0.35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</row>
    <row r="730" spans="1:11" x14ac:dyDescent="0.35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</row>
    <row r="731" spans="1:11" x14ac:dyDescent="0.35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</row>
    <row r="732" spans="1:11" x14ac:dyDescent="0.35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</row>
    <row r="733" spans="1:11" x14ac:dyDescent="0.35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</row>
    <row r="734" spans="1:11" x14ac:dyDescent="0.35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</row>
    <row r="735" spans="1:11" x14ac:dyDescent="0.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</row>
    <row r="736" spans="1:11" x14ac:dyDescent="0.35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</row>
    <row r="737" spans="1:11" x14ac:dyDescent="0.35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</row>
    <row r="738" spans="1:11" x14ac:dyDescent="0.35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</row>
    <row r="739" spans="1:11" x14ac:dyDescent="0.35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</row>
    <row r="740" spans="1:11" x14ac:dyDescent="0.35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</row>
    <row r="741" spans="1:11" x14ac:dyDescent="0.35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</row>
    <row r="742" spans="1:11" x14ac:dyDescent="0.35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</row>
    <row r="743" spans="1:11" x14ac:dyDescent="0.35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</row>
    <row r="744" spans="1:11" x14ac:dyDescent="0.35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</row>
    <row r="745" spans="1:11" x14ac:dyDescent="0.3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</row>
    <row r="746" spans="1:11" x14ac:dyDescent="0.35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</row>
    <row r="747" spans="1:11" x14ac:dyDescent="0.35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</row>
    <row r="748" spans="1:11" x14ac:dyDescent="0.35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</row>
    <row r="749" spans="1:11" x14ac:dyDescent="0.35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</row>
    <row r="750" spans="1:11" x14ac:dyDescent="0.35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</row>
    <row r="751" spans="1:11" x14ac:dyDescent="0.35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</row>
    <row r="752" spans="1:11" x14ac:dyDescent="0.35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</row>
    <row r="753" spans="1:11" x14ac:dyDescent="0.35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</row>
    <row r="754" spans="1:11" x14ac:dyDescent="0.35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</row>
    <row r="755" spans="1:11" x14ac:dyDescent="0.3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</row>
    <row r="756" spans="1:11" x14ac:dyDescent="0.35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</row>
    <row r="757" spans="1:11" x14ac:dyDescent="0.35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</row>
    <row r="758" spans="1:11" x14ac:dyDescent="0.35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</row>
    <row r="759" spans="1:11" x14ac:dyDescent="0.35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</row>
    <row r="760" spans="1:11" x14ac:dyDescent="0.35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</row>
    <row r="761" spans="1:11" x14ac:dyDescent="0.35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</row>
    <row r="762" spans="1:11" x14ac:dyDescent="0.35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</row>
    <row r="763" spans="1:11" x14ac:dyDescent="0.35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</row>
    <row r="764" spans="1:11" x14ac:dyDescent="0.35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</row>
    <row r="765" spans="1:11" x14ac:dyDescent="0.3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</row>
    <row r="766" spans="1:11" x14ac:dyDescent="0.35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</row>
    <row r="767" spans="1:11" x14ac:dyDescent="0.35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</row>
    <row r="768" spans="1:11" x14ac:dyDescent="0.35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</row>
    <row r="769" spans="1:11" x14ac:dyDescent="0.35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</row>
    <row r="770" spans="1:11" x14ac:dyDescent="0.35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</row>
    <row r="771" spans="1:11" x14ac:dyDescent="0.35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</row>
    <row r="772" spans="1:11" x14ac:dyDescent="0.35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</row>
    <row r="773" spans="1:11" x14ac:dyDescent="0.35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</row>
    <row r="774" spans="1:11" x14ac:dyDescent="0.35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</row>
    <row r="775" spans="1:11" x14ac:dyDescent="0.3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</row>
    <row r="776" spans="1:11" x14ac:dyDescent="0.35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</row>
    <row r="777" spans="1:11" x14ac:dyDescent="0.35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</row>
    <row r="778" spans="1:11" x14ac:dyDescent="0.35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</row>
    <row r="779" spans="1:11" x14ac:dyDescent="0.35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</row>
    <row r="780" spans="1:11" x14ac:dyDescent="0.35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</row>
    <row r="781" spans="1:11" x14ac:dyDescent="0.35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</row>
    <row r="782" spans="1:11" x14ac:dyDescent="0.35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</row>
    <row r="783" spans="1:11" x14ac:dyDescent="0.35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</row>
    <row r="784" spans="1:11" x14ac:dyDescent="0.35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</row>
    <row r="785" spans="1:11" x14ac:dyDescent="0.3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</row>
    <row r="786" spans="1:11" x14ac:dyDescent="0.35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</row>
    <row r="787" spans="1:11" x14ac:dyDescent="0.35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</row>
    <row r="788" spans="1:11" x14ac:dyDescent="0.35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</row>
    <row r="789" spans="1:11" x14ac:dyDescent="0.35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</row>
    <row r="790" spans="1:11" x14ac:dyDescent="0.35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</row>
    <row r="791" spans="1:11" x14ac:dyDescent="0.35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</row>
    <row r="792" spans="1:11" x14ac:dyDescent="0.35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</row>
  </sheetData>
  <autoFilter ref="A1:K104" xr:uid="{00000000-0001-0000-0000-000000000000}">
    <sortState xmlns:xlrd2="http://schemas.microsoft.com/office/spreadsheetml/2017/richdata2" ref="A2:K104">
      <sortCondition descending="1" ref="K1:K104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34DA4-C6EA-4593-B988-6F5C81F56E45}">
  <dimension ref="A1:L104"/>
  <sheetViews>
    <sheetView tabSelected="1" workbookViewId="0">
      <selection activeCell="G3" sqref="G3"/>
    </sheetView>
  </sheetViews>
  <sheetFormatPr defaultRowHeight="14.5" x14ac:dyDescent="0.35"/>
  <cols>
    <col min="1" max="1" width="21.1796875" bestFit="1" customWidth="1"/>
    <col min="8" max="8" width="35.1796875" bestFit="1" customWidth="1"/>
    <col min="9" max="9" width="35.81640625" bestFit="1" customWidth="1"/>
  </cols>
  <sheetData>
    <row r="1" spans="1:12" x14ac:dyDescent="0.35">
      <c r="A1" s="2" t="s">
        <v>107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 t="s">
        <v>0</v>
      </c>
      <c r="I1" s="2" t="s">
        <v>1</v>
      </c>
      <c r="J1" s="2" t="s">
        <v>105</v>
      </c>
      <c r="K1" s="2" t="s">
        <v>106</v>
      </c>
      <c r="L1" s="2" t="s">
        <v>109</v>
      </c>
    </row>
    <row r="2" spans="1:12" x14ac:dyDescent="0.35">
      <c r="A2" s="2" t="s">
        <v>21</v>
      </c>
      <c r="B2" s="2">
        <v>4.79</v>
      </c>
      <c r="C2" s="2">
        <v>10.130000000000001</v>
      </c>
      <c r="D2" s="2">
        <v>13.67</v>
      </c>
      <c r="E2" s="2">
        <v>7.45</v>
      </c>
      <c r="F2" s="2">
        <v>3.25</v>
      </c>
      <c r="G2" s="2">
        <v>2.06</v>
      </c>
      <c r="H2" s="2">
        <v>16.28</v>
      </c>
      <c r="I2" s="2">
        <v>2.33</v>
      </c>
      <c r="J2" s="2">
        <v>13.950000000000001</v>
      </c>
      <c r="K2" s="2">
        <v>13.950000000000001</v>
      </c>
      <c r="L2" s="2">
        <v>0.87019999999999997</v>
      </c>
    </row>
    <row r="3" spans="1:12" x14ac:dyDescent="0.35">
      <c r="A3" s="2" t="s">
        <v>99</v>
      </c>
      <c r="B3" s="2">
        <v>1.88</v>
      </c>
      <c r="C3" s="2">
        <v>11.56</v>
      </c>
      <c r="D3" s="2">
        <v>10.92</v>
      </c>
      <c r="E3" s="2">
        <v>6.57</v>
      </c>
      <c r="F3" s="2">
        <v>7.78</v>
      </c>
      <c r="G3" s="2">
        <v>2.39</v>
      </c>
      <c r="H3" s="2">
        <v>15.03</v>
      </c>
      <c r="I3" s="2">
        <v>7.75</v>
      </c>
      <c r="J3" s="2">
        <v>7.2799999999999994</v>
      </c>
      <c r="K3" s="2">
        <v>7.2799999999999994</v>
      </c>
      <c r="L3" s="2">
        <v>0.92090000000000005</v>
      </c>
    </row>
    <row r="4" spans="1:12" x14ac:dyDescent="0.35">
      <c r="A4" s="2" t="s">
        <v>55</v>
      </c>
      <c r="B4" s="2">
        <v>2.04</v>
      </c>
      <c r="C4" s="2">
        <v>5.86</v>
      </c>
      <c r="D4" s="2">
        <v>8</v>
      </c>
      <c r="E4" s="2">
        <v>6.45</v>
      </c>
      <c r="F4" s="2">
        <v>2.59</v>
      </c>
      <c r="G4" s="2">
        <v>1.04</v>
      </c>
      <c r="H4" s="2">
        <v>12.9</v>
      </c>
      <c r="I4" s="2">
        <v>2.13</v>
      </c>
      <c r="J4" s="2">
        <v>10.77</v>
      </c>
      <c r="K4" s="2">
        <v>10.77</v>
      </c>
      <c r="L4" s="2">
        <v>0.91100000000000003</v>
      </c>
    </row>
    <row r="5" spans="1:12" x14ac:dyDescent="0.35">
      <c r="A5" s="2" t="s">
        <v>44</v>
      </c>
      <c r="B5" s="2">
        <v>0</v>
      </c>
      <c r="C5" s="2">
        <v>4.0999999999999996</v>
      </c>
      <c r="D5" s="2">
        <v>7.83</v>
      </c>
      <c r="E5" s="2">
        <v>6.04</v>
      </c>
      <c r="F5" s="2">
        <v>5.26</v>
      </c>
      <c r="G5" s="2">
        <v>0.63</v>
      </c>
      <c r="H5" s="2">
        <v>6.32</v>
      </c>
      <c r="I5" s="2">
        <v>4.1500000000000004</v>
      </c>
      <c r="J5" s="2">
        <v>2.17</v>
      </c>
      <c r="K5" s="2">
        <v>2.17</v>
      </c>
      <c r="L5" s="2">
        <v>0.94179999999999997</v>
      </c>
    </row>
    <row r="6" spans="1:12" x14ac:dyDescent="0.35">
      <c r="A6" s="2" t="s">
        <v>104</v>
      </c>
      <c r="B6" s="2">
        <v>0</v>
      </c>
      <c r="C6" s="2">
        <v>4.0999999999999996</v>
      </c>
      <c r="D6" s="2">
        <v>7.83</v>
      </c>
      <c r="E6" s="2">
        <v>6.04</v>
      </c>
      <c r="F6" s="2">
        <v>5.26</v>
      </c>
      <c r="G6" s="2">
        <v>1.73</v>
      </c>
      <c r="H6" s="2">
        <v>6.32</v>
      </c>
      <c r="I6" s="2">
        <v>4.1500000000000004</v>
      </c>
      <c r="J6" s="2">
        <v>2.17</v>
      </c>
      <c r="K6" s="2">
        <v>2.17</v>
      </c>
      <c r="L6" s="2">
        <v>0.94179999999999997</v>
      </c>
    </row>
    <row r="7" spans="1:12" x14ac:dyDescent="0.35">
      <c r="A7" s="2" t="s">
        <v>79</v>
      </c>
      <c r="B7" s="2">
        <v>3.95</v>
      </c>
      <c r="C7" s="2">
        <v>11.27</v>
      </c>
      <c r="D7" s="2">
        <v>12.24</v>
      </c>
      <c r="E7" s="2">
        <v>5.23</v>
      </c>
      <c r="F7" s="2">
        <v>4.03</v>
      </c>
      <c r="G7" s="2">
        <v>1.1499999999999999</v>
      </c>
      <c r="H7" s="2">
        <v>16.440000000000001</v>
      </c>
      <c r="I7" s="2">
        <v>4.8600000000000003</v>
      </c>
      <c r="J7" s="2">
        <v>11.580000000000002</v>
      </c>
      <c r="K7" s="2">
        <v>11.580000000000002</v>
      </c>
      <c r="L7" s="2">
        <v>0.81640000000000001</v>
      </c>
    </row>
    <row r="8" spans="1:12" x14ac:dyDescent="0.35">
      <c r="A8" s="2" t="s">
        <v>45</v>
      </c>
      <c r="B8" s="2">
        <v>9.6300000000000008</v>
      </c>
      <c r="C8" s="2">
        <v>10.28</v>
      </c>
      <c r="D8" s="2">
        <v>11.35</v>
      </c>
      <c r="E8" s="2">
        <v>5.12</v>
      </c>
      <c r="F8" s="2">
        <v>4.6399999999999997</v>
      </c>
      <c r="G8" s="2">
        <v>1.5</v>
      </c>
      <c r="H8" s="2">
        <v>16.690000000000001</v>
      </c>
      <c r="I8" s="2">
        <v>6.75</v>
      </c>
      <c r="J8" s="2">
        <v>9.9400000000000013</v>
      </c>
      <c r="K8" s="2">
        <v>9.9400000000000013</v>
      </c>
      <c r="L8" s="2">
        <v>0.93700000000000006</v>
      </c>
    </row>
    <row r="9" spans="1:12" x14ac:dyDescent="0.35">
      <c r="A9" s="2" t="s">
        <v>83</v>
      </c>
      <c r="B9" s="2">
        <v>17.100000000000001</v>
      </c>
      <c r="C9" s="2">
        <v>9.83</v>
      </c>
      <c r="D9" s="2">
        <v>12.29</v>
      </c>
      <c r="E9" s="2">
        <v>5.09</v>
      </c>
      <c r="F9" s="2">
        <v>1.61</v>
      </c>
      <c r="G9" s="2">
        <v>2.77</v>
      </c>
      <c r="H9" s="2">
        <v>23.37</v>
      </c>
      <c r="I9" s="2">
        <v>3.15</v>
      </c>
      <c r="J9" s="2">
        <v>20.220000000000002</v>
      </c>
      <c r="K9" s="2">
        <v>20.220000000000002</v>
      </c>
      <c r="L9" s="2">
        <v>0.87519999999999998</v>
      </c>
    </row>
    <row r="10" spans="1:12" x14ac:dyDescent="0.35">
      <c r="A10" s="2" t="s">
        <v>14</v>
      </c>
      <c r="B10" s="2">
        <v>2.34</v>
      </c>
      <c r="C10" s="2">
        <v>10.6</v>
      </c>
      <c r="D10" s="2">
        <v>14.47</v>
      </c>
      <c r="E10" s="2">
        <v>4.3600000000000003</v>
      </c>
      <c r="F10" s="2">
        <v>3.08</v>
      </c>
      <c r="G10" s="2">
        <v>1.0900000000000001</v>
      </c>
      <c r="H10" s="2">
        <v>16.46</v>
      </c>
      <c r="I10" s="2">
        <v>4.54</v>
      </c>
      <c r="J10" s="2">
        <v>11.920000000000002</v>
      </c>
      <c r="K10" s="2">
        <v>11.920000000000002</v>
      </c>
      <c r="L10" s="2">
        <v>0.92479999999999996</v>
      </c>
    </row>
    <row r="11" spans="1:12" x14ac:dyDescent="0.35">
      <c r="A11" s="2" t="s">
        <v>63</v>
      </c>
      <c r="B11" s="2">
        <v>0.32</v>
      </c>
      <c r="C11" s="2">
        <v>6.43</v>
      </c>
      <c r="D11" s="2">
        <v>14.01</v>
      </c>
      <c r="E11" s="2">
        <v>4.28</v>
      </c>
      <c r="F11" s="2">
        <v>1.7</v>
      </c>
      <c r="G11" s="2">
        <v>2.75</v>
      </c>
      <c r="H11" s="2">
        <v>17.510000000000002</v>
      </c>
      <c r="I11" s="2">
        <v>2.64</v>
      </c>
      <c r="J11" s="2">
        <v>14.870000000000001</v>
      </c>
      <c r="K11" s="2">
        <v>14.870000000000001</v>
      </c>
      <c r="L11" s="2">
        <v>0.90429999999999999</v>
      </c>
    </row>
    <row r="12" spans="1:12" x14ac:dyDescent="0.35">
      <c r="A12" s="2" t="s">
        <v>52</v>
      </c>
      <c r="B12" s="2">
        <v>2.02</v>
      </c>
      <c r="C12" s="2">
        <v>9.69</v>
      </c>
      <c r="D12" s="2">
        <v>6.55</v>
      </c>
      <c r="E12" s="2">
        <v>4.18</v>
      </c>
      <c r="F12" s="2">
        <v>2.76</v>
      </c>
      <c r="G12" s="2">
        <v>1.1200000000000001</v>
      </c>
      <c r="H12" s="2">
        <v>18.39</v>
      </c>
      <c r="I12" s="2">
        <v>2.87</v>
      </c>
      <c r="J12" s="2">
        <v>15.52</v>
      </c>
      <c r="K12" s="2">
        <v>15.52</v>
      </c>
      <c r="L12" s="2">
        <v>0.91379999999999995</v>
      </c>
    </row>
    <row r="13" spans="1:12" x14ac:dyDescent="0.35">
      <c r="A13" s="2" t="s">
        <v>30</v>
      </c>
      <c r="B13" s="2">
        <v>5.52</v>
      </c>
      <c r="C13" s="2">
        <v>13.75</v>
      </c>
      <c r="D13" s="2">
        <v>12.67</v>
      </c>
      <c r="E13" s="2">
        <v>4.0599999999999996</v>
      </c>
      <c r="F13" s="2">
        <v>2.99</v>
      </c>
      <c r="G13" s="2">
        <v>1.17</v>
      </c>
      <c r="H13" s="2">
        <v>20.66</v>
      </c>
      <c r="I13" s="2">
        <v>3.44</v>
      </c>
      <c r="J13" s="2">
        <v>17.22</v>
      </c>
      <c r="K13" s="2">
        <v>17.22</v>
      </c>
      <c r="L13" s="2">
        <v>0.92830000000000001</v>
      </c>
    </row>
    <row r="14" spans="1:12" x14ac:dyDescent="0.35">
      <c r="A14" s="2" t="s">
        <v>75</v>
      </c>
      <c r="B14" s="2">
        <v>4.5999999999999996</v>
      </c>
      <c r="C14" s="2">
        <v>11.03</v>
      </c>
      <c r="D14" s="2">
        <v>15.62</v>
      </c>
      <c r="E14" s="2">
        <v>3.97</v>
      </c>
      <c r="F14" s="2">
        <v>3.81</v>
      </c>
      <c r="G14" s="2">
        <v>0.82</v>
      </c>
      <c r="H14" s="2">
        <v>16.5</v>
      </c>
      <c r="I14" s="2">
        <v>3.68</v>
      </c>
      <c r="J14" s="2">
        <v>12.82</v>
      </c>
      <c r="K14" s="2">
        <v>12.82</v>
      </c>
      <c r="L14" s="2">
        <v>0.94040000000000001</v>
      </c>
    </row>
    <row r="15" spans="1:12" x14ac:dyDescent="0.35">
      <c r="A15" s="2" t="s">
        <v>78</v>
      </c>
      <c r="B15" s="2">
        <v>1.91</v>
      </c>
      <c r="C15" s="2">
        <v>8</v>
      </c>
      <c r="D15" s="2">
        <v>8.6999999999999993</v>
      </c>
      <c r="E15" s="2">
        <v>3.87</v>
      </c>
      <c r="F15" s="2">
        <v>1.75</v>
      </c>
      <c r="G15" s="2">
        <v>0.64</v>
      </c>
      <c r="H15" s="2">
        <v>17.190000000000001</v>
      </c>
      <c r="I15" s="2">
        <v>1.66</v>
      </c>
      <c r="J15" s="2">
        <v>15.530000000000001</v>
      </c>
      <c r="K15" s="2">
        <v>15.530000000000001</v>
      </c>
      <c r="L15" s="2">
        <v>0.82569999999999999</v>
      </c>
    </row>
    <row r="16" spans="1:12" x14ac:dyDescent="0.35">
      <c r="A16" s="2" t="s">
        <v>32</v>
      </c>
      <c r="B16" s="2">
        <v>0</v>
      </c>
      <c r="C16" s="2">
        <v>8.17</v>
      </c>
      <c r="D16" s="2">
        <v>6.85</v>
      </c>
      <c r="E16" s="2">
        <v>3.69</v>
      </c>
      <c r="F16" s="2">
        <v>2.74</v>
      </c>
      <c r="G16" s="2">
        <v>0.44</v>
      </c>
      <c r="H16" s="2">
        <v>15.44</v>
      </c>
      <c r="I16" s="2">
        <v>4.32</v>
      </c>
      <c r="J16" s="2">
        <v>11.12</v>
      </c>
      <c r="K16" s="2">
        <v>11.12</v>
      </c>
      <c r="L16" s="2">
        <v>0.92920000000000003</v>
      </c>
    </row>
    <row r="17" spans="1:12" x14ac:dyDescent="0.35">
      <c r="A17" s="2" t="s">
        <v>13</v>
      </c>
      <c r="B17" s="2">
        <v>3.69</v>
      </c>
      <c r="C17" s="2">
        <v>9.85</v>
      </c>
      <c r="D17" s="2">
        <v>9.7799999999999994</v>
      </c>
      <c r="E17" s="2">
        <v>3.67</v>
      </c>
      <c r="F17" s="2">
        <v>4.05</v>
      </c>
      <c r="G17" s="2">
        <v>0.93</v>
      </c>
      <c r="H17" s="2">
        <v>16.93</v>
      </c>
      <c r="I17" s="2">
        <v>5.78</v>
      </c>
      <c r="J17" s="2">
        <v>11.149999999999999</v>
      </c>
      <c r="K17" s="2">
        <v>11.149999999999999</v>
      </c>
      <c r="L17" s="2">
        <v>0.94130000000000003</v>
      </c>
    </row>
    <row r="18" spans="1:12" x14ac:dyDescent="0.35">
      <c r="A18" s="2" t="s">
        <v>87</v>
      </c>
      <c r="B18" s="2">
        <v>0</v>
      </c>
      <c r="C18" s="2">
        <v>9.34</v>
      </c>
      <c r="D18" s="2">
        <v>13.37</v>
      </c>
      <c r="E18" s="2">
        <v>3.56</v>
      </c>
      <c r="F18" s="2">
        <v>2.86</v>
      </c>
      <c r="G18" s="2">
        <v>5.28</v>
      </c>
      <c r="H18" s="2">
        <v>19.52</v>
      </c>
      <c r="I18" s="2">
        <v>4.13</v>
      </c>
      <c r="J18" s="2">
        <v>15.39</v>
      </c>
      <c r="K18" s="2">
        <v>15.39</v>
      </c>
      <c r="L18" s="2">
        <v>0.84089999999999998</v>
      </c>
    </row>
    <row r="19" spans="1:12" x14ac:dyDescent="0.35">
      <c r="A19" s="2" t="s">
        <v>3</v>
      </c>
      <c r="B19" s="2">
        <v>10.58</v>
      </c>
      <c r="C19" s="2">
        <v>8.08</v>
      </c>
      <c r="D19" s="2">
        <v>1.86</v>
      </c>
      <c r="E19" s="2">
        <v>3.55</v>
      </c>
      <c r="F19" s="2">
        <v>0.56999999999999995</v>
      </c>
      <c r="G19" s="2">
        <v>2.44</v>
      </c>
      <c r="H19" s="2">
        <v>11.81</v>
      </c>
      <c r="I19" s="2">
        <v>0</v>
      </c>
      <c r="J19" s="2">
        <v>11.81</v>
      </c>
      <c r="K19" s="2">
        <v>11.81</v>
      </c>
      <c r="L19" s="2">
        <v>0</v>
      </c>
    </row>
    <row r="20" spans="1:12" x14ac:dyDescent="0.35">
      <c r="A20" s="2" t="s">
        <v>4</v>
      </c>
      <c r="B20" s="2">
        <v>10.58</v>
      </c>
      <c r="C20" s="2">
        <v>8.08</v>
      </c>
      <c r="D20" s="2">
        <v>1.86</v>
      </c>
      <c r="E20" s="2">
        <v>3.55</v>
      </c>
      <c r="F20" s="2">
        <v>0.56999999999999995</v>
      </c>
      <c r="G20" s="2">
        <v>0</v>
      </c>
      <c r="H20" s="2">
        <v>11.81</v>
      </c>
      <c r="I20" s="2">
        <v>0</v>
      </c>
      <c r="J20" s="2">
        <v>11.81</v>
      </c>
      <c r="K20" s="2">
        <v>11.81</v>
      </c>
      <c r="L20" s="2">
        <v>0</v>
      </c>
    </row>
    <row r="21" spans="1:12" x14ac:dyDescent="0.35">
      <c r="A21" s="2" t="s">
        <v>15</v>
      </c>
      <c r="B21" s="2">
        <v>1.28</v>
      </c>
      <c r="C21" s="2">
        <v>6.81</v>
      </c>
      <c r="D21" s="2">
        <v>13.96</v>
      </c>
      <c r="E21" s="2">
        <v>3.42</v>
      </c>
      <c r="F21" s="2">
        <v>3.9</v>
      </c>
      <c r="G21" s="2">
        <v>1.02</v>
      </c>
      <c r="H21" s="2">
        <v>17.55</v>
      </c>
      <c r="I21" s="2">
        <v>5.04</v>
      </c>
      <c r="J21" s="2">
        <v>12.510000000000002</v>
      </c>
      <c r="K21" s="2">
        <v>12.510000000000002</v>
      </c>
      <c r="L21" s="2">
        <v>0.94089999999999996</v>
      </c>
    </row>
    <row r="22" spans="1:12" x14ac:dyDescent="0.35">
      <c r="A22" s="2" t="s">
        <v>65</v>
      </c>
      <c r="B22" s="2">
        <v>3.59</v>
      </c>
      <c r="C22" s="2">
        <v>10.9</v>
      </c>
      <c r="D22" s="2">
        <v>13.22</v>
      </c>
      <c r="E22" s="2">
        <v>3.37</v>
      </c>
      <c r="F22" s="2">
        <v>4.17</v>
      </c>
      <c r="G22" s="2">
        <v>0.77</v>
      </c>
      <c r="H22" s="2">
        <v>13.97</v>
      </c>
      <c r="I22" s="2">
        <v>4.41</v>
      </c>
      <c r="J22" s="2">
        <v>9.56</v>
      </c>
      <c r="K22" s="2">
        <v>9.56</v>
      </c>
      <c r="L22" s="2">
        <v>0.93879999999999997</v>
      </c>
    </row>
    <row r="23" spans="1:12" x14ac:dyDescent="0.35">
      <c r="A23" s="2" t="s">
        <v>82</v>
      </c>
      <c r="B23" s="2">
        <v>2.76</v>
      </c>
      <c r="C23" s="2">
        <v>9.49</v>
      </c>
      <c r="D23" s="2">
        <v>9.35</v>
      </c>
      <c r="E23" s="2">
        <v>3.37</v>
      </c>
      <c r="F23" s="2">
        <v>3.45</v>
      </c>
      <c r="G23" s="2">
        <v>0.53</v>
      </c>
      <c r="H23" s="2">
        <v>15.3</v>
      </c>
      <c r="I23" s="2">
        <v>2.99</v>
      </c>
      <c r="J23" s="2">
        <v>12.31</v>
      </c>
      <c r="K23" s="2">
        <v>12.31</v>
      </c>
      <c r="L23" s="2">
        <v>0.9385</v>
      </c>
    </row>
    <row r="24" spans="1:12" x14ac:dyDescent="0.35">
      <c r="A24" s="2" t="s">
        <v>94</v>
      </c>
      <c r="B24" s="2">
        <v>1.99</v>
      </c>
      <c r="C24" s="2">
        <v>17.32</v>
      </c>
      <c r="D24" s="2">
        <v>18.920000000000002</v>
      </c>
      <c r="E24" s="2">
        <v>3.34</v>
      </c>
      <c r="F24" s="2">
        <v>3.64</v>
      </c>
      <c r="G24" s="2">
        <v>1.37</v>
      </c>
      <c r="H24" s="2">
        <v>18.22</v>
      </c>
      <c r="I24" s="2">
        <v>5.75</v>
      </c>
      <c r="J24" s="2">
        <v>12.469999999999999</v>
      </c>
      <c r="K24" s="2">
        <v>12.469999999999999</v>
      </c>
      <c r="L24" s="2">
        <v>0.92889999999999995</v>
      </c>
    </row>
    <row r="25" spans="1:12" x14ac:dyDescent="0.35">
      <c r="A25" s="2" t="s">
        <v>95</v>
      </c>
      <c r="B25" s="2">
        <v>1.99</v>
      </c>
      <c r="C25" s="2">
        <v>17.32</v>
      </c>
      <c r="D25" s="2">
        <v>18.920000000000002</v>
      </c>
      <c r="E25" s="2">
        <v>3.34</v>
      </c>
      <c r="F25" s="2">
        <v>3.64</v>
      </c>
      <c r="G25" s="2">
        <v>2.25</v>
      </c>
      <c r="H25" s="2">
        <v>18.22</v>
      </c>
      <c r="I25" s="2">
        <v>5.75</v>
      </c>
      <c r="J25" s="2">
        <v>12.469999999999999</v>
      </c>
      <c r="K25" s="2">
        <v>12.469999999999999</v>
      </c>
      <c r="L25" s="2" t="e">
        <v>#N/A</v>
      </c>
    </row>
    <row r="26" spans="1:12" x14ac:dyDescent="0.35">
      <c r="A26" s="2" t="s">
        <v>19</v>
      </c>
      <c r="B26" s="2">
        <v>3.88</v>
      </c>
      <c r="C26" s="2">
        <v>12.08</v>
      </c>
      <c r="D26" s="2">
        <v>13.42</v>
      </c>
      <c r="E26" s="2">
        <v>3.33</v>
      </c>
      <c r="F26" s="2">
        <v>4.42</v>
      </c>
      <c r="G26" s="2">
        <v>2.5299999999999998</v>
      </c>
      <c r="H26" s="2">
        <v>16.45</v>
      </c>
      <c r="I26" s="2">
        <v>4.1900000000000004</v>
      </c>
      <c r="J26" s="2">
        <v>12.259999999999998</v>
      </c>
      <c r="K26" s="2">
        <v>12.259999999999998</v>
      </c>
      <c r="L26" s="2">
        <v>0.91690000000000005</v>
      </c>
    </row>
    <row r="27" spans="1:12" x14ac:dyDescent="0.35">
      <c r="A27" s="2" t="s">
        <v>47</v>
      </c>
      <c r="B27" s="2">
        <v>2.5099999999999998</v>
      </c>
      <c r="C27" s="2">
        <v>10.19</v>
      </c>
      <c r="D27" s="2">
        <v>10.93</v>
      </c>
      <c r="E27" s="2">
        <v>3.33</v>
      </c>
      <c r="F27" s="2">
        <v>4.37</v>
      </c>
      <c r="G27" s="2">
        <v>0.56000000000000005</v>
      </c>
      <c r="H27" s="2">
        <v>12.69</v>
      </c>
      <c r="I27" s="2">
        <v>4.3899999999999997</v>
      </c>
      <c r="J27" s="2">
        <v>8.3000000000000007</v>
      </c>
      <c r="K27" s="2">
        <v>8.3000000000000007</v>
      </c>
      <c r="L27" s="2">
        <v>0.93769999999999998</v>
      </c>
    </row>
    <row r="28" spans="1:12" x14ac:dyDescent="0.35">
      <c r="A28" s="2" t="s">
        <v>73</v>
      </c>
      <c r="B28" s="2">
        <v>3.73</v>
      </c>
      <c r="C28" s="2">
        <v>9.91</v>
      </c>
      <c r="D28" s="2">
        <v>7.15</v>
      </c>
      <c r="E28" s="2">
        <v>3.28</v>
      </c>
      <c r="F28" s="2">
        <v>2.93</v>
      </c>
      <c r="G28" s="2">
        <v>1.52</v>
      </c>
      <c r="H28" s="2">
        <v>14.52</v>
      </c>
      <c r="I28" s="2">
        <v>3.47</v>
      </c>
      <c r="J28" s="2">
        <v>11.049999999999999</v>
      </c>
      <c r="K28" s="2">
        <v>11.049999999999999</v>
      </c>
      <c r="L28" s="2">
        <v>0.89739999999999998</v>
      </c>
    </row>
    <row r="29" spans="1:12" x14ac:dyDescent="0.35">
      <c r="A29" s="2" t="s">
        <v>89</v>
      </c>
      <c r="B29" s="2">
        <v>4.05</v>
      </c>
      <c r="C29" s="2">
        <v>9.44</v>
      </c>
      <c r="D29" s="2">
        <v>13.39</v>
      </c>
      <c r="E29" s="2">
        <v>3.26</v>
      </c>
      <c r="F29" s="2">
        <v>2.5099999999999998</v>
      </c>
      <c r="G29" s="2">
        <v>0.89</v>
      </c>
      <c r="H29" s="2">
        <v>16.14</v>
      </c>
      <c r="I29" s="2">
        <v>5.72</v>
      </c>
      <c r="J29" s="2">
        <v>10.420000000000002</v>
      </c>
      <c r="K29" s="2">
        <v>10.420000000000002</v>
      </c>
      <c r="L29" s="2">
        <v>0.9425</v>
      </c>
    </row>
    <row r="30" spans="1:12" x14ac:dyDescent="0.35">
      <c r="A30" s="2" t="s">
        <v>42</v>
      </c>
      <c r="B30" s="2">
        <v>4.5</v>
      </c>
      <c r="C30" s="2">
        <v>6.41</v>
      </c>
      <c r="D30" s="2">
        <v>12.07</v>
      </c>
      <c r="E30" s="2">
        <v>3.13</v>
      </c>
      <c r="F30" s="2">
        <v>2.75</v>
      </c>
      <c r="G30" s="2">
        <v>1.3</v>
      </c>
      <c r="H30" s="2">
        <v>16.89</v>
      </c>
      <c r="I30" s="2">
        <v>2.81</v>
      </c>
      <c r="J30" s="2">
        <v>14.08</v>
      </c>
      <c r="K30" s="2">
        <v>14.08</v>
      </c>
      <c r="L30" s="2">
        <v>0.88500000000000001</v>
      </c>
    </row>
    <row r="31" spans="1:12" x14ac:dyDescent="0.35">
      <c r="A31" s="2" t="s">
        <v>24</v>
      </c>
      <c r="B31" s="2">
        <v>4.6399999999999997</v>
      </c>
      <c r="C31" s="2">
        <v>9.9600000000000009</v>
      </c>
      <c r="D31" s="2">
        <v>9.94</v>
      </c>
      <c r="E31" s="2">
        <v>3.08</v>
      </c>
      <c r="F31" s="2">
        <v>3.62</v>
      </c>
      <c r="G31" s="2">
        <v>1.67</v>
      </c>
      <c r="H31" s="2">
        <v>15.55</v>
      </c>
      <c r="I31" s="2">
        <v>3.38</v>
      </c>
      <c r="J31" s="2">
        <v>12.170000000000002</v>
      </c>
      <c r="K31" s="2">
        <v>12.170000000000002</v>
      </c>
      <c r="L31" s="2">
        <v>0.89139999999999997</v>
      </c>
    </row>
    <row r="32" spans="1:12" x14ac:dyDescent="0.35">
      <c r="A32" s="2" t="s">
        <v>54</v>
      </c>
      <c r="B32" s="2">
        <v>2.1</v>
      </c>
      <c r="C32" s="2">
        <v>9.9700000000000006</v>
      </c>
      <c r="D32" s="2">
        <v>17.22</v>
      </c>
      <c r="E32" s="2">
        <v>3.07</v>
      </c>
      <c r="F32" s="2">
        <v>4.55</v>
      </c>
      <c r="G32" s="2">
        <v>1.31</v>
      </c>
      <c r="H32" s="2">
        <v>18.559999999999999</v>
      </c>
      <c r="I32" s="2">
        <v>4.25</v>
      </c>
      <c r="J32" s="2">
        <v>14.309999999999999</v>
      </c>
      <c r="K32" s="2">
        <v>14.309999999999999</v>
      </c>
      <c r="L32" s="2">
        <v>0.90690000000000004</v>
      </c>
    </row>
    <row r="33" spans="1:12" x14ac:dyDescent="0.35">
      <c r="A33" s="2" t="s">
        <v>59</v>
      </c>
      <c r="B33" s="2">
        <v>3.13</v>
      </c>
      <c r="C33" s="2">
        <v>9.5299999999999994</v>
      </c>
      <c r="D33" s="2">
        <v>6.45</v>
      </c>
      <c r="E33" s="2">
        <v>2.94</v>
      </c>
      <c r="F33" s="2">
        <v>3.33</v>
      </c>
      <c r="G33" s="2">
        <v>1.0900000000000001</v>
      </c>
      <c r="H33" s="2">
        <v>15.98</v>
      </c>
      <c r="I33" s="2">
        <v>3.38</v>
      </c>
      <c r="J33" s="2">
        <v>12.600000000000001</v>
      </c>
      <c r="K33" s="2">
        <v>12.600000000000001</v>
      </c>
      <c r="L33" s="2">
        <v>0.88380000000000003</v>
      </c>
    </row>
    <row r="34" spans="1:12" x14ac:dyDescent="0.35">
      <c r="A34" s="2" t="s">
        <v>20</v>
      </c>
      <c r="B34" s="2">
        <v>1.82</v>
      </c>
      <c r="C34" s="2">
        <v>10.49</v>
      </c>
      <c r="D34" s="2">
        <v>11.88</v>
      </c>
      <c r="E34" s="2">
        <v>2.91</v>
      </c>
      <c r="F34" s="2">
        <v>3.11</v>
      </c>
      <c r="G34" s="2">
        <v>1.7</v>
      </c>
      <c r="H34" s="2">
        <v>16.18</v>
      </c>
      <c r="I34" s="2">
        <v>3.18</v>
      </c>
      <c r="J34" s="2">
        <v>13</v>
      </c>
      <c r="K34" s="2">
        <v>13</v>
      </c>
      <c r="L34" s="2">
        <v>0.92349999999999999</v>
      </c>
    </row>
    <row r="35" spans="1:12" x14ac:dyDescent="0.35">
      <c r="A35" s="2" t="s">
        <v>27</v>
      </c>
      <c r="B35" s="2">
        <v>2.16</v>
      </c>
      <c r="C35" s="2">
        <v>9.23</v>
      </c>
      <c r="D35" s="2">
        <v>4.83</v>
      </c>
      <c r="E35" s="2">
        <v>2.83</v>
      </c>
      <c r="F35" s="2">
        <v>1.62</v>
      </c>
      <c r="G35" s="2">
        <v>1.62</v>
      </c>
      <c r="H35" s="2">
        <v>17.649999999999999</v>
      </c>
      <c r="I35" s="2">
        <v>4.0599999999999996</v>
      </c>
      <c r="J35" s="2">
        <v>13.59</v>
      </c>
      <c r="K35" s="2">
        <v>13.59</v>
      </c>
      <c r="L35" s="2">
        <v>0.9204</v>
      </c>
    </row>
    <row r="36" spans="1:12" x14ac:dyDescent="0.35">
      <c r="A36" s="2" t="s">
        <v>37</v>
      </c>
      <c r="B36" s="2">
        <v>4.6500000000000004</v>
      </c>
      <c r="C36" s="2">
        <v>11.09</v>
      </c>
      <c r="D36" s="2">
        <v>12.11</v>
      </c>
      <c r="E36" s="2">
        <v>2.78</v>
      </c>
      <c r="F36" s="2">
        <v>4.5199999999999996</v>
      </c>
      <c r="G36" s="2">
        <v>1.69</v>
      </c>
      <c r="H36" s="2">
        <v>15.46</v>
      </c>
      <c r="I36" s="2">
        <v>5.03</v>
      </c>
      <c r="J36" s="2">
        <v>10.43</v>
      </c>
      <c r="K36" s="2">
        <v>10.43</v>
      </c>
      <c r="L36" s="2">
        <v>0.9244</v>
      </c>
    </row>
    <row r="37" spans="1:12" x14ac:dyDescent="0.35">
      <c r="A37" s="2" t="s">
        <v>18</v>
      </c>
      <c r="B37" s="2">
        <v>1.6</v>
      </c>
      <c r="C37" s="2">
        <v>9.0399999999999991</v>
      </c>
      <c r="D37" s="2">
        <v>11.4</v>
      </c>
      <c r="E37" s="2">
        <v>2.74</v>
      </c>
      <c r="F37" s="2">
        <v>1.99</v>
      </c>
      <c r="G37" s="2">
        <v>2.15</v>
      </c>
      <c r="H37" s="2">
        <v>15.59</v>
      </c>
      <c r="I37" s="2">
        <v>4.25</v>
      </c>
      <c r="J37" s="2">
        <v>11.34</v>
      </c>
      <c r="K37" s="2">
        <v>11.34</v>
      </c>
      <c r="L37" s="2">
        <v>0.93589999999999995</v>
      </c>
    </row>
    <row r="38" spans="1:12" x14ac:dyDescent="0.35">
      <c r="A38" s="2" t="s">
        <v>2</v>
      </c>
      <c r="B38" s="2">
        <v>2.4700000000000002</v>
      </c>
      <c r="C38" s="2">
        <v>7.18</v>
      </c>
      <c r="D38" s="2">
        <v>11.63</v>
      </c>
      <c r="E38" s="2">
        <v>2.67</v>
      </c>
      <c r="F38" s="2">
        <v>2.04</v>
      </c>
      <c r="G38" s="2">
        <v>0.5</v>
      </c>
      <c r="H38" s="2">
        <v>17.46</v>
      </c>
      <c r="I38" s="2">
        <v>3.82</v>
      </c>
      <c r="J38" s="2">
        <v>13.64</v>
      </c>
      <c r="K38" s="2">
        <v>13.64</v>
      </c>
      <c r="L38" s="2">
        <v>0.93920000000000003</v>
      </c>
    </row>
    <row r="39" spans="1:12" x14ac:dyDescent="0.35">
      <c r="A39" s="2" t="s">
        <v>38</v>
      </c>
      <c r="B39" s="2">
        <v>0</v>
      </c>
      <c r="C39" s="2">
        <v>11.89</v>
      </c>
      <c r="D39" s="2">
        <v>10.38</v>
      </c>
      <c r="E39" s="2">
        <v>2.67</v>
      </c>
      <c r="F39" s="2">
        <v>1.19</v>
      </c>
      <c r="G39" s="2">
        <v>0.87</v>
      </c>
      <c r="H39" s="2">
        <v>19.739999999999998</v>
      </c>
      <c r="I39" s="2">
        <v>0.87</v>
      </c>
      <c r="J39" s="2">
        <v>18.869999999999997</v>
      </c>
      <c r="K39" s="2">
        <v>18.869999999999997</v>
      </c>
      <c r="L39" s="2">
        <v>0.83879999999999999</v>
      </c>
    </row>
    <row r="40" spans="1:12" x14ac:dyDescent="0.35">
      <c r="A40" s="2" t="s">
        <v>77</v>
      </c>
      <c r="B40" s="2">
        <v>5.66</v>
      </c>
      <c r="C40" s="2">
        <v>6.7</v>
      </c>
      <c r="D40" s="2">
        <v>16.350000000000001</v>
      </c>
      <c r="E40" s="2">
        <v>2.59</v>
      </c>
      <c r="F40" s="2">
        <v>2.58</v>
      </c>
      <c r="G40" s="2">
        <v>0.94</v>
      </c>
      <c r="H40" s="2">
        <v>19.18</v>
      </c>
      <c r="I40" s="2">
        <v>3.56</v>
      </c>
      <c r="J40" s="2">
        <v>15.62</v>
      </c>
      <c r="K40" s="2">
        <v>15.62</v>
      </c>
      <c r="L40" s="2" t="e">
        <v>#N/A</v>
      </c>
    </row>
    <row r="41" spans="1:12" x14ac:dyDescent="0.35">
      <c r="A41" s="2" t="s">
        <v>23</v>
      </c>
      <c r="B41" s="2">
        <v>3.99</v>
      </c>
      <c r="C41" s="2">
        <v>10.51</v>
      </c>
      <c r="D41" s="2">
        <v>12.36</v>
      </c>
      <c r="E41" s="2">
        <v>2.58</v>
      </c>
      <c r="F41" s="2">
        <v>4.03</v>
      </c>
      <c r="G41" s="2">
        <v>1.22</v>
      </c>
      <c r="H41" s="2">
        <v>15.01</v>
      </c>
      <c r="I41" s="2">
        <v>5.04</v>
      </c>
      <c r="J41" s="2">
        <v>9.9699999999999989</v>
      </c>
      <c r="K41" s="2">
        <v>9.9699999999999989</v>
      </c>
      <c r="L41" s="2">
        <v>0.92190000000000005</v>
      </c>
    </row>
    <row r="42" spans="1:12" x14ac:dyDescent="0.35">
      <c r="A42" s="2" t="s">
        <v>102</v>
      </c>
      <c r="B42" s="2">
        <v>0.3</v>
      </c>
      <c r="C42" s="2">
        <v>11.06</v>
      </c>
      <c r="D42" s="2">
        <v>5.48</v>
      </c>
      <c r="E42" s="2">
        <v>2.5099999999999998</v>
      </c>
      <c r="F42" s="2">
        <v>2.2599999999999998</v>
      </c>
      <c r="G42" s="2">
        <v>1</v>
      </c>
      <c r="H42" s="2">
        <v>16.309999999999999</v>
      </c>
      <c r="I42" s="2">
        <v>3.17</v>
      </c>
      <c r="J42" s="2">
        <v>13.139999999999999</v>
      </c>
      <c r="K42" s="2">
        <v>13.139999999999999</v>
      </c>
      <c r="L42" s="2">
        <v>0.91810000000000003</v>
      </c>
    </row>
    <row r="43" spans="1:12" x14ac:dyDescent="0.35">
      <c r="A43" s="2" t="s">
        <v>62</v>
      </c>
      <c r="B43" s="2">
        <v>2.25</v>
      </c>
      <c r="C43" s="2">
        <v>9.58</v>
      </c>
      <c r="D43" s="2">
        <v>7.72</v>
      </c>
      <c r="E43" s="2">
        <v>2.48</v>
      </c>
      <c r="F43" s="2">
        <v>3.43</v>
      </c>
      <c r="G43" s="2">
        <v>0.8</v>
      </c>
      <c r="H43" s="2">
        <v>16.010000000000002</v>
      </c>
      <c r="I43" s="2">
        <v>3.85</v>
      </c>
      <c r="J43" s="2">
        <v>12.160000000000002</v>
      </c>
      <c r="K43" s="2">
        <v>12.160000000000002</v>
      </c>
      <c r="L43" s="2">
        <v>0.93440000000000001</v>
      </c>
    </row>
    <row r="44" spans="1:12" x14ac:dyDescent="0.35">
      <c r="A44" s="2" t="s">
        <v>81</v>
      </c>
      <c r="B44" s="2">
        <v>3.2</v>
      </c>
      <c r="C44" s="2">
        <v>10.87</v>
      </c>
      <c r="D44" s="2">
        <v>11.15</v>
      </c>
      <c r="E44" s="2">
        <v>2.4700000000000002</v>
      </c>
      <c r="F44" s="2">
        <v>4.9400000000000004</v>
      </c>
      <c r="G44" s="2">
        <v>1.8</v>
      </c>
      <c r="H44" s="2">
        <v>12.79</v>
      </c>
      <c r="I44" s="2">
        <v>4.78</v>
      </c>
      <c r="J44" s="2">
        <v>8.009999999999998</v>
      </c>
      <c r="K44" s="2">
        <v>8.009999999999998</v>
      </c>
      <c r="L44" s="2">
        <v>0.92390000000000005</v>
      </c>
    </row>
    <row r="45" spans="1:12" x14ac:dyDescent="0.35">
      <c r="A45" s="2" t="s">
        <v>80</v>
      </c>
      <c r="B45" s="2">
        <v>3.9</v>
      </c>
      <c r="C45" s="2">
        <v>11.17</v>
      </c>
      <c r="D45" s="2">
        <v>8.2200000000000006</v>
      </c>
      <c r="E45" s="2">
        <v>2.42</v>
      </c>
      <c r="F45" s="2">
        <v>3.14</v>
      </c>
      <c r="G45" s="2">
        <v>1.61</v>
      </c>
      <c r="H45" s="2">
        <v>16.45</v>
      </c>
      <c r="I45" s="2">
        <v>3.07</v>
      </c>
      <c r="J45" s="2">
        <v>13.379999999999999</v>
      </c>
      <c r="K45" s="2">
        <v>13.379999999999999</v>
      </c>
      <c r="L45" s="2">
        <v>0.92490000000000006</v>
      </c>
    </row>
    <row r="46" spans="1:12" x14ac:dyDescent="0.35">
      <c r="A46" s="2" t="s">
        <v>9</v>
      </c>
      <c r="B46" s="2">
        <v>2.56</v>
      </c>
      <c r="C46" s="2">
        <v>11.1</v>
      </c>
      <c r="D46" s="2">
        <v>10.36</v>
      </c>
      <c r="E46" s="2">
        <v>2.41</v>
      </c>
      <c r="F46" s="2">
        <v>4.76</v>
      </c>
      <c r="G46" s="2">
        <v>1.05</v>
      </c>
      <c r="H46" s="2">
        <v>15.72</v>
      </c>
      <c r="I46" s="2">
        <v>4.45</v>
      </c>
      <c r="J46" s="2">
        <v>11.27</v>
      </c>
      <c r="K46" s="2">
        <v>11.27</v>
      </c>
      <c r="L46" s="2">
        <v>0.90890000000000004</v>
      </c>
    </row>
    <row r="47" spans="1:12" x14ac:dyDescent="0.35">
      <c r="A47" s="2" t="s">
        <v>33</v>
      </c>
      <c r="B47" s="2">
        <v>3.55</v>
      </c>
      <c r="C47" s="2">
        <v>10.08</v>
      </c>
      <c r="D47" s="2">
        <v>8.3699999999999992</v>
      </c>
      <c r="E47" s="2">
        <v>2.39</v>
      </c>
      <c r="F47" s="2">
        <v>3.23</v>
      </c>
      <c r="G47" s="2">
        <v>0.76</v>
      </c>
      <c r="H47" s="2">
        <v>14.97</v>
      </c>
      <c r="I47" s="2">
        <v>3.77</v>
      </c>
      <c r="J47" s="2">
        <v>11.200000000000001</v>
      </c>
      <c r="K47" s="2">
        <v>11.200000000000001</v>
      </c>
      <c r="L47" s="2">
        <v>0.94030000000000002</v>
      </c>
    </row>
    <row r="48" spans="1:12" x14ac:dyDescent="0.35">
      <c r="A48" s="2" t="s">
        <v>11</v>
      </c>
      <c r="B48" s="2">
        <v>1.71</v>
      </c>
      <c r="C48" s="2">
        <v>12.48</v>
      </c>
      <c r="D48" s="2">
        <v>17.04</v>
      </c>
      <c r="E48" s="2">
        <v>2.38</v>
      </c>
      <c r="F48" s="2">
        <v>6.28</v>
      </c>
      <c r="G48" s="2">
        <v>0.62</v>
      </c>
      <c r="H48" s="2">
        <v>15.84</v>
      </c>
      <c r="I48" s="2">
        <v>5.87</v>
      </c>
      <c r="J48" s="2">
        <v>9.9699999999999989</v>
      </c>
      <c r="K48" s="2">
        <v>9.9699999999999989</v>
      </c>
      <c r="L48" s="2">
        <v>0.8125</v>
      </c>
    </row>
    <row r="49" spans="1:12" x14ac:dyDescent="0.35">
      <c r="A49" s="2" t="s">
        <v>61</v>
      </c>
      <c r="B49" s="2">
        <v>4.4000000000000004</v>
      </c>
      <c r="C49" s="2">
        <v>10.65</v>
      </c>
      <c r="D49" s="2">
        <v>9.07</v>
      </c>
      <c r="E49" s="2">
        <v>2.35</v>
      </c>
      <c r="F49" s="2">
        <v>6.41</v>
      </c>
      <c r="G49" s="2">
        <v>2.23</v>
      </c>
      <c r="H49" s="2">
        <v>15.11</v>
      </c>
      <c r="I49" s="2">
        <v>7.82</v>
      </c>
      <c r="J49" s="2">
        <v>7.2899999999999991</v>
      </c>
      <c r="K49" s="2">
        <v>7.2899999999999991</v>
      </c>
      <c r="L49" s="2">
        <v>0.94240000000000002</v>
      </c>
    </row>
    <row r="50" spans="1:12" x14ac:dyDescent="0.35">
      <c r="A50" s="2" t="s">
        <v>72</v>
      </c>
      <c r="B50" s="2">
        <v>3.92</v>
      </c>
      <c r="C50" s="2">
        <v>10.71</v>
      </c>
      <c r="D50" s="2">
        <v>14.6</v>
      </c>
      <c r="E50" s="2">
        <v>2.34</v>
      </c>
      <c r="F50" s="2">
        <v>2.88</v>
      </c>
      <c r="G50" s="2">
        <v>2.52</v>
      </c>
      <c r="H50" s="2">
        <v>15.81</v>
      </c>
      <c r="I50" s="2">
        <v>4.01</v>
      </c>
      <c r="J50" s="2">
        <v>11.8</v>
      </c>
      <c r="K50" s="2">
        <v>11.8</v>
      </c>
      <c r="L50" s="2">
        <v>0.9375</v>
      </c>
    </row>
    <row r="51" spans="1:12" x14ac:dyDescent="0.35">
      <c r="A51" s="2" t="s">
        <v>48</v>
      </c>
      <c r="B51" s="2">
        <v>3.43</v>
      </c>
      <c r="C51" s="2">
        <v>9.76</v>
      </c>
      <c r="D51" s="2">
        <v>10.58</v>
      </c>
      <c r="E51" s="2">
        <v>2.3199999999999998</v>
      </c>
      <c r="F51" s="2">
        <v>2.7</v>
      </c>
      <c r="G51" s="2">
        <v>2.3199999999999998</v>
      </c>
      <c r="H51" s="2">
        <v>15.94</v>
      </c>
      <c r="I51" s="2">
        <v>7.66</v>
      </c>
      <c r="J51" s="2">
        <v>8.2799999999999994</v>
      </c>
      <c r="K51" s="2">
        <v>8.2799999999999994</v>
      </c>
      <c r="L51" s="2">
        <v>0.93469999999999998</v>
      </c>
    </row>
    <row r="52" spans="1:12" x14ac:dyDescent="0.35">
      <c r="A52" s="2" t="s">
        <v>7</v>
      </c>
      <c r="B52" s="2">
        <v>0</v>
      </c>
      <c r="C52" s="2">
        <v>0</v>
      </c>
      <c r="D52" s="2">
        <v>0.55000000000000004</v>
      </c>
      <c r="E52" s="2">
        <v>2.2799999999999998</v>
      </c>
      <c r="F52" s="2">
        <v>2.5099999999999998</v>
      </c>
      <c r="G52" s="2">
        <v>2.62</v>
      </c>
      <c r="H52" s="2">
        <v>2.77</v>
      </c>
      <c r="I52" s="2">
        <v>3.67</v>
      </c>
      <c r="J52" s="2">
        <v>-0.89999999999999991</v>
      </c>
      <c r="K52" s="2">
        <v>0.89999999999999991</v>
      </c>
      <c r="L52" s="2">
        <v>-2.1861000000000002</v>
      </c>
    </row>
    <row r="53" spans="1:12" x14ac:dyDescent="0.35">
      <c r="A53" s="2" t="s">
        <v>46</v>
      </c>
      <c r="B53" s="2">
        <v>2.6</v>
      </c>
      <c r="C53" s="2">
        <v>5.83</v>
      </c>
      <c r="D53" s="2">
        <v>14.28</v>
      </c>
      <c r="E53" s="2">
        <v>2.21</v>
      </c>
      <c r="F53" s="2">
        <v>1.36</v>
      </c>
      <c r="G53" s="2">
        <v>2.95</v>
      </c>
      <c r="H53" s="2">
        <v>15.99</v>
      </c>
      <c r="I53" s="2">
        <v>2.15</v>
      </c>
      <c r="J53" s="2">
        <v>13.84</v>
      </c>
      <c r="K53" s="2">
        <v>13.84</v>
      </c>
      <c r="L53" s="2">
        <v>0.92110000000000003</v>
      </c>
    </row>
    <row r="54" spans="1:12" x14ac:dyDescent="0.35">
      <c r="A54" s="2" t="s">
        <v>39</v>
      </c>
      <c r="B54" s="2">
        <v>4.3</v>
      </c>
      <c r="C54" s="2">
        <v>11.47</v>
      </c>
      <c r="D54" s="2">
        <v>11.48</v>
      </c>
      <c r="E54" s="2">
        <v>2.16</v>
      </c>
      <c r="F54" s="2">
        <v>4.3899999999999997</v>
      </c>
      <c r="G54" s="2">
        <v>1.3</v>
      </c>
      <c r="H54" s="2">
        <v>16.149999999999999</v>
      </c>
      <c r="I54" s="2">
        <v>5.42</v>
      </c>
      <c r="J54" s="2">
        <v>10.729999999999999</v>
      </c>
      <c r="K54" s="2">
        <v>10.729999999999999</v>
      </c>
      <c r="L54" s="2">
        <v>0.93410000000000004</v>
      </c>
    </row>
    <row r="55" spans="1:12" x14ac:dyDescent="0.35">
      <c r="A55" s="2" t="s">
        <v>71</v>
      </c>
      <c r="B55" s="2">
        <v>3.8</v>
      </c>
      <c r="C55" s="2">
        <v>9.31</v>
      </c>
      <c r="D55" s="2">
        <v>10.55</v>
      </c>
      <c r="E55" s="2">
        <v>2.14</v>
      </c>
      <c r="F55" s="2">
        <v>2.35</v>
      </c>
      <c r="G55" s="2">
        <v>1.9</v>
      </c>
      <c r="H55" s="2">
        <v>15.24</v>
      </c>
      <c r="I55" s="2">
        <v>3.08</v>
      </c>
      <c r="J55" s="2">
        <v>12.16</v>
      </c>
      <c r="K55" s="2">
        <v>12.16</v>
      </c>
      <c r="L55" s="2">
        <v>0.93479999999999996</v>
      </c>
    </row>
    <row r="56" spans="1:12" x14ac:dyDescent="0.35">
      <c r="A56" s="2" t="s">
        <v>91</v>
      </c>
      <c r="B56" s="2">
        <v>2.99</v>
      </c>
      <c r="C56" s="2">
        <v>11.74</v>
      </c>
      <c r="D56" s="2">
        <v>11.92</v>
      </c>
      <c r="E56" s="2">
        <v>2.12</v>
      </c>
      <c r="F56" s="2">
        <v>4.2</v>
      </c>
      <c r="G56" s="2">
        <v>1.95</v>
      </c>
      <c r="H56" s="2">
        <v>16.29</v>
      </c>
      <c r="I56" s="2">
        <v>3.58</v>
      </c>
      <c r="J56" s="2">
        <v>12.709999999999999</v>
      </c>
      <c r="K56" s="2">
        <v>12.709999999999999</v>
      </c>
      <c r="L56" s="2">
        <v>0.93400000000000005</v>
      </c>
    </row>
    <row r="57" spans="1:12" x14ac:dyDescent="0.35">
      <c r="A57" s="2" t="s">
        <v>67</v>
      </c>
      <c r="B57" s="2">
        <v>2.02</v>
      </c>
      <c r="C57" s="2">
        <v>9.51</v>
      </c>
      <c r="D57" s="2">
        <v>9.75</v>
      </c>
      <c r="E57" s="2">
        <v>2.1</v>
      </c>
      <c r="F57" s="2">
        <v>1.18</v>
      </c>
      <c r="G57" s="2">
        <v>1.53</v>
      </c>
      <c r="H57" s="2">
        <v>18.5</v>
      </c>
      <c r="I57" s="2">
        <v>2.4300000000000002</v>
      </c>
      <c r="J57" s="2">
        <v>16.07</v>
      </c>
      <c r="K57" s="2">
        <v>16.07</v>
      </c>
      <c r="L57" s="2">
        <v>0.91810000000000003</v>
      </c>
    </row>
    <row r="58" spans="1:12" x14ac:dyDescent="0.35">
      <c r="A58" s="2" t="s">
        <v>100</v>
      </c>
      <c r="B58" s="2">
        <v>3.12</v>
      </c>
      <c r="C58" s="2">
        <v>3.74</v>
      </c>
      <c r="D58" s="2">
        <v>9.39</v>
      </c>
      <c r="E58" s="2">
        <v>2.0299999999999998</v>
      </c>
      <c r="F58" s="2">
        <v>0.95</v>
      </c>
      <c r="G58" s="2">
        <v>1.42</v>
      </c>
      <c r="H58" s="2">
        <v>20.03</v>
      </c>
      <c r="I58" s="2">
        <v>1.98</v>
      </c>
      <c r="J58" s="2">
        <v>18.05</v>
      </c>
      <c r="K58" s="2">
        <v>18.05</v>
      </c>
      <c r="L58" s="2">
        <v>0.93579999999999997</v>
      </c>
    </row>
    <row r="59" spans="1:12" x14ac:dyDescent="0.35">
      <c r="A59" s="2" t="s">
        <v>69</v>
      </c>
      <c r="B59" s="2">
        <v>1.77</v>
      </c>
      <c r="C59" s="2">
        <v>10.02</v>
      </c>
      <c r="D59" s="2">
        <v>14.57</v>
      </c>
      <c r="E59" s="2">
        <v>1.96</v>
      </c>
      <c r="F59" s="2">
        <v>2.71</v>
      </c>
      <c r="G59" s="2">
        <v>2.2599999999999998</v>
      </c>
      <c r="H59" s="2">
        <v>17.43</v>
      </c>
      <c r="I59" s="2">
        <v>3.22</v>
      </c>
      <c r="J59" s="2">
        <v>14.209999999999999</v>
      </c>
      <c r="K59" s="2">
        <v>14.209999999999999</v>
      </c>
      <c r="L59" s="2">
        <v>0.88449999999999995</v>
      </c>
    </row>
    <row r="60" spans="1:12" x14ac:dyDescent="0.35">
      <c r="A60" s="2" t="s">
        <v>51</v>
      </c>
      <c r="B60" s="2">
        <v>3.52</v>
      </c>
      <c r="C60" s="2">
        <v>11.58</v>
      </c>
      <c r="D60" s="2">
        <v>19.170000000000002</v>
      </c>
      <c r="E60" s="2">
        <v>1.9</v>
      </c>
      <c r="F60" s="2">
        <v>4.9000000000000004</v>
      </c>
      <c r="G60" s="2">
        <v>1.06</v>
      </c>
      <c r="H60" s="2">
        <v>17.670000000000002</v>
      </c>
      <c r="I60" s="2">
        <v>4.74</v>
      </c>
      <c r="J60" s="2">
        <v>12.930000000000001</v>
      </c>
      <c r="K60" s="2">
        <v>12.930000000000001</v>
      </c>
      <c r="L60" s="2">
        <v>0.89529999999999998</v>
      </c>
    </row>
    <row r="61" spans="1:12" x14ac:dyDescent="0.35">
      <c r="A61" s="2" t="s">
        <v>53</v>
      </c>
      <c r="B61" s="2">
        <v>2.88</v>
      </c>
      <c r="C61" s="2">
        <v>11.25</v>
      </c>
      <c r="D61" s="2">
        <v>12.42</v>
      </c>
      <c r="E61" s="2">
        <v>1.84</v>
      </c>
      <c r="F61" s="2">
        <v>3.81</v>
      </c>
      <c r="G61" s="2">
        <v>1.68</v>
      </c>
      <c r="H61" s="2">
        <v>18.41</v>
      </c>
      <c r="I61" s="2">
        <v>6.33</v>
      </c>
      <c r="J61" s="2">
        <v>12.08</v>
      </c>
      <c r="K61" s="2">
        <v>12.08</v>
      </c>
      <c r="L61" s="2">
        <v>0.84550000000000003</v>
      </c>
    </row>
    <row r="62" spans="1:12" x14ac:dyDescent="0.35">
      <c r="A62" s="2" t="s">
        <v>101</v>
      </c>
      <c r="B62" s="2">
        <v>0.48</v>
      </c>
      <c r="C62" s="2">
        <v>9.2100000000000009</v>
      </c>
      <c r="D62" s="2">
        <v>12.66</v>
      </c>
      <c r="E62" s="2">
        <v>1.75</v>
      </c>
      <c r="F62" s="2">
        <v>0.75</v>
      </c>
      <c r="G62" s="2">
        <v>2.6</v>
      </c>
      <c r="H62" s="2">
        <v>19.39</v>
      </c>
      <c r="I62" s="2">
        <v>3.47</v>
      </c>
      <c r="J62" s="2">
        <v>15.92</v>
      </c>
      <c r="K62" s="2">
        <v>15.92</v>
      </c>
      <c r="L62" s="2">
        <v>0.92830000000000001</v>
      </c>
    </row>
    <row r="63" spans="1:12" x14ac:dyDescent="0.35">
      <c r="A63" s="2" t="s">
        <v>76</v>
      </c>
      <c r="B63" s="2">
        <v>4.18</v>
      </c>
      <c r="C63" s="2">
        <v>12.8</v>
      </c>
      <c r="D63" s="2">
        <v>11.26</v>
      </c>
      <c r="E63" s="2">
        <v>1.75</v>
      </c>
      <c r="F63" s="2">
        <v>4.16</v>
      </c>
      <c r="G63" s="2">
        <v>1.05</v>
      </c>
      <c r="H63" s="2">
        <v>15.88</v>
      </c>
      <c r="I63" s="2">
        <v>4.25</v>
      </c>
      <c r="J63" s="2">
        <v>11.63</v>
      </c>
      <c r="K63" s="2">
        <v>11.63</v>
      </c>
      <c r="L63" s="2">
        <v>0.93230000000000002</v>
      </c>
    </row>
    <row r="64" spans="1:12" x14ac:dyDescent="0.35">
      <c r="A64" s="2" t="s">
        <v>97</v>
      </c>
      <c r="B64" s="2">
        <v>3.73</v>
      </c>
      <c r="C64" s="2">
        <v>10.08</v>
      </c>
      <c r="D64" s="2">
        <v>11.53</v>
      </c>
      <c r="E64" s="2">
        <v>1.71</v>
      </c>
      <c r="F64" s="2">
        <v>4.12</v>
      </c>
      <c r="G64" s="2">
        <v>0.99</v>
      </c>
      <c r="H64" s="2">
        <v>16.16</v>
      </c>
      <c r="I64" s="2">
        <v>4.49</v>
      </c>
      <c r="J64" s="2">
        <v>11.67</v>
      </c>
      <c r="K64" s="2">
        <v>11.67</v>
      </c>
      <c r="L64" s="2">
        <v>0.92230000000000001</v>
      </c>
    </row>
    <row r="65" spans="1:12" x14ac:dyDescent="0.35">
      <c r="A65" s="2" t="s">
        <v>12</v>
      </c>
      <c r="B65" s="2">
        <v>1.59</v>
      </c>
      <c r="C65" s="2">
        <v>8.3800000000000008</v>
      </c>
      <c r="D65" s="2">
        <v>33.08</v>
      </c>
      <c r="E65" s="2">
        <v>1.69</v>
      </c>
      <c r="F65" s="2">
        <v>1.64</v>
      </c>
      <c r="G65" s="2">
        <v>3.79</v>
      </c>
      <c r="H65" s="2">
        <v>34.21</v>
      </c>
      <c r="I65" s="2">
        <v>4.83</v>
      </c>
      <c r="J65" s="2">
        <v>29.380000000000003</v>
      </c>
      <c r="K65" s="2" t="s">
        <v>110</v>
      </c>
      <c r="L65" s="2">
        <v>0.84630000000000005</v>
      </c>
    </row>
    <row r="66" spans="1:12" x14ac:dyDescent="0.35">
      <c r="A66" s="2" t="s">
        <v>90</v>
      </c>
      <c r="B66" s="2">
        <v>3.03</v>
      </c>
      <c r="C66" s="2">
        <v>10.58</v>
      </c>
      <c r="D66" s="2">
        <v>10.63</v>
      </c>
      <c r="E66" s="2">
        <v>1.69</v>
      </c>
      <c r="F66" s="2">
        <v>1.84</v>
      </c>
      <c r="G66" s="2">
        <v>0.9</v>
      </c>
      <c r="H66" s="2">
        <v>17.489999999999998</v>
      </c>
      <c r="I66" s="2">
        <v>4.71</v>
      </c>
      <c r="J66" s="2">
        <v>12.779999999999998</v>
      </c>
      <c r="K66" s="2">
        <v>12.779999999999998</v>
      </c>
      <c r="L66" s="2">
        <v>0.94140000000000001</v>
      </c>
    </row>
    <row r="67" spans="1:12" x14ac:dyDescent="0.35">
      <c r="A67" s="2" t="s">
        <v>84</v>
      </c>
      <c r="B67" s="2">
        <v>2.29</v>
      </c>
      <c r="C67" s="2">
        <v>9.84</v>
      </c>
      <c r="D67" s="2">
        <v>12.49</v>
      </c>
      <c r="E67" s="2">
        <v>1.63</v>
      </c>
      <c r="F67" s="2">
        <v>3.2</v>
      </c>
      <c r="G67" s="2">
        <v>1.08</v>
      </c>
      <c r="H67" s="2">
        <v>17.18</v>
      </c>
      <c r="I67" s="2">
        <v>3.69</v>
      </c>
      <c r="J67" s="2">
        <v>13.49</v>
      </c>
      <c r="K67" s="2">
        <v>13.49</v>
      </c>
      <c r="L67" s="2">
        <v>0.9365</v>
      </c>
    </row>
    <row r="68" spans="1:12" x14ac:dyDescent="0.35">
      <c r="A68" s="2" t="s">
        <v>70</v>
      </c>
      <c r="B68" s="2">
        <v>5.32</v>
      </c>
      <c r="C68" s="2">
        <v>11.45</v>
      </c>
      <c r="D68" s="2">
        <v>8.81</v>
      </c>
      <c r="E68" s="2">
        <v>1.58</v>
      </c>
      <c r="F68" s="2">
        <v>3.72</v>
      </c>
      <c r="G68" s="2">
        <v>3.13</v>
      </c>
      <c r="H68" s="2">
        <v>18.510000000000002</v>
      </c>
      <c r="I68" s="2">
        <v>4.01</v>
      </c>
      <c r="J68" s="2">
        <v>14.500000000000002</v>
      </c>
      <c r="K68" s="2">
        <v>14.500000000000002</v>
      </c>
      <c r="L68" s="2">
        <v>0.9214</v>
      </c>
    </row>
    <row r="69" spans="1:12" x14ac:dyDescent="0.35">
      <c r="A69" s="2" t="s">
        <v>103</v>
      </c>
      <c r="B69" s="2">
        <v>5.32</v>
      </c>
      <c r="C69" s="2">
        <v>11.45</v>
      </c>
      <c r="D69" s="2">
        <v>8.81</v>
      </c>
      <c r="E69" s="2">
        <v>1.58</v>
      </c>
      <c r="F69" s="2">
        <v>3.72</v>
      </c>
      <c r="G69" s="2">
        <v>2.79</v>
      </c>
      <c r="H69" s="2">
        <v>18.510000000000002</v>
      </c>
      <c r="I69" s="2">
        <v>4.01</v>
      </c>
      <c r="J69" s="2">
        <v>14.500000000000002</v>
      </c>
      <c r="K69" s="2">
        <v>14.500000000000002</v>
      </c>
      <c r="L69" s="2">
        <v>0.9214</v>
      </c>
    </row>
    <row r="70" spans="1:12" x14ac:dyDescent="0.35">
      <c r="A70" s="2" t="s">
        <v>60</v>
      </c>
      <c r="B70" s="2">
        <v>0.68</v>
      </c>
      <c r="C70" s="2">
        <v>7.86</v>
      </c>
      <c r="D70" s="2">
        <v>15</v>
      </c>
      <c r="E70" s="2">
        <v>1.56</v>
      </c>
      <c r="F70" s="2">
        <v>1.47</v>
      </c>
      <c r="G70" s="2">
        <v>1.94</v>
      </c>
      <c r="H70" s="2">
        <v>22.61</v>
      </c>
      <c r="I70" s="2">
        <v>2.2799999999999998</v>
      </c>
      <c r="J70" s="2">
        <v>20.329999999999998</v>
      </c>
      <c r="K70" s="2">
        <v>20.329999999999998</v>
      </c>
      <c r="L70" s="2">
        <v>0.92459999999999998</v>
      </c>
    </row>
    <row r="71" spans="1:12" x14ac:dyDescent="0.35">
      <c r="A71" s="2" t="s">
        <v>85</v>
      </c>
      <c r="B71" s="2">
        <v>4.3</v>
      </c>
      <c r="C71" s="2">
        <v>11.16</v>
      </c>
      <c r="D71" s="2">
        <v>13.94</v>
      </c>
      <c r="E71" s="2">
        <v>1.5</v>
      </c>
      <c r="F71" s="2">
        <v>5.17</v>
      </c>
      <c r="G71" s="2">
        <v>0.95</v>
      </c>
      <c r="H71" s="2">
        <v>15.58</v>
      </c>
      <c r="I71" s="2">
        <v>5.68</v>
      </c>
      <c r="J71" s="2">
        <v>9.9</v>
      </c>
      <c r="K71" s="2">
        <v>9.9</v>
      </c>
      <c r="L71" s="2">
        <v>0.93600000000000005</v>
      </c>
    </row>
    <row r="72" spans="1:12" x14ac:dyDescent="0.35">
      <c r="A72" s="2" t="s">
        <v>43</v>
      </c>
      <c r="B72" s="2">
        <v>0.21</v>
      </c>
      <c r="C72" s="2">
        <v>8.0500000000000007</v>
      </c>
      <c r="D72" s="2">
        <v>13.64</v>
      </c>
      <c r="E72" s="2">
        <v>1.48</v>
      </c>
      <c r="F72" s="2">
        <v>1.88</v>
      </c>
      <c r="G72" s="2">
        <v>1.28</v>
      </c>
      <c r="H72" s="2">
        <v>17.37</v>
      </c>
      <c r="I72" s="2">
        <v>2.79</v>
      </c>
      <c r="J72" s="2">
        <v>14.580000000000002</v>
      </c>
      <c r="K72" s="2">
        <v>14.580000000000002</v>
      </c>
      <c r="L72" s="2" t="e">
        <v>#N/A</v>
      </c>
    </row>
    <row r="73" spans="1:12" x14ac:dyDescent="0.35">
      <c r="A73" s="2" t="s">
        <v>56</v>
      </c>
      <c r="B73" s="2">
        <v>1.19</v>
      </c>
      <c r="C73" s="2">
        <v>8.8800000000000008</v>
      </c>
      <c r="D73" s="2">
        <v>14.9</v>
      </c>
      <c r="E73" s="2">
        <v>1.43</v>
      </c>
      <c r="F73" s="2">
        <v>4.96</v>
      </c>
      <c r="G73" s="2">
        <v>1.98</v>
      </c>
      <c r="H73" s="2">
        <v>23.69</v>
      </c>
      <c r="I73" s="2">
        <v>3.46</v>
      </c>
      <c r="J73" s="2">
        <v>20.23</v>
      </c>
      <c r="K73" s="2">
        <v>20.23</v>
      </c>
      <c r="L73" s="2">
        <v>0.71730000000000005</v>
      </c>
    </row>
    <row r="74" spans="1:12" x14ac:dyDescent="0.35">
      <c r="A74" s="2" t="s">
        <v>68</v>
      </c>
      <c r="B74" s="2">
        <v>1.19</v>
      </c>
      <c r="C74" s="2">
        <v>8.8800000000000008</v>
      </c>
      <c r="D74" s="2">
        <v>14.9</v>
      </c>
      <c r="E74" s="2">
        <v>1.43</v>
      </c>
      <c r="F74" s="2">
        <v>4.96</v>
      </c>
      <c r="G74" s="2">
        <v>5.87</v>
      </c>
      <c r="H74" s="2">
        <v>23.69</v>
      </c>
      <c r="I74" s="2">
        <v>3.46</v>
      </c>
      <c r="J74" s="2">
        <v>20.23</v>
      </c>
      <c r="K74" s="2">
        <v>20.23</v>
      </c>
      <c r="L74" s="2">
        <v>0.71730000000000005</v>
      </c>
    </row>
    <row r="75" spans="1:12" x14ac:dyDescent="0.35">
      <c r="A75" s="2" t="s">
        <v>22</v>
      </c>
      <c r="B75" s="2">
        <v>3.73</v>
      </c>
      <c r="C75" s="2">
        <v>10.18</v>
      </c>
      <c r="D75" s="2">
        <v>11.73</v>
      </c>
      <c r="E75" s="2">
        <v>1.37</v>
      </c>
      <c r="F75" s="2">
        <v>4.09</v>
      </c>
      <c r="G75" s="2">
        <v>0.54</v>
      </c>
      <c r="H75" s="2">
        <v>16.91</v>
      </c>
      <c r="I75" s="2">
        <v>5.3</v>
      </c>
      <c r="J75" s="2">
        <v>11.61</v>
      </c>
      <c r="K75" s="2">
        <v>11.61</v>
      </c>
      <c r="L75" s="2">
        <v>0.89500000000000002</v>
      </c>
    </row>
    <row r="76" spans="1:12" x14ac:dyDescent="0.35">
      <c r="A76" s="2" t="s">
        <v>40</v>
      </c>
      <c r="B76" s="2">
        <v>3.27</v>
      </c>
      <c r="C76" s="2">
        <v>10.39</v>
      </c>
      <c r="D76" s="2">
        <v>12.7</v>
      </c>
      <c r="E76" s="2">
        <v>1.34</v>
      </c>
      <c r="F76" s="2">
        <v>3.65</v>
      </c>
      <c r="G76" s="2">
        <v>0.6</v>
      </c>
      <c r="H76" s="2">
        <v>15.62</v>
      </c>
      <c r="I76" s="2">
        <v>4.6500000000000004</v>
      </c>
      <c r="J76" s="2">
        <v>10.969999999999999</v>
      </c>
      <c r="K76" s="2">
        <v>10.969999999999999</v>
      </c>
      <c r="L76" s="2">
        <v>0.93479999999999996</v>
      </c>
    </row>
    <row r="77" spans="1:12" x14ac:dyDescent="0.35">
      <c r="A77" s="2" t="s">
        <v>98</v>
      </c>
      <c r="B77" s="2">
        <v>3.27</v>
      </c>
      <c r="C77" s="2">
        <v>10.39</v>
      </c>
      <c r="D77" s="2">
        <v>12.7</v>
      </c>
      <c r="E77" s="2">
        <v>1.34</v>
      </c>
      <c r="F77" s="2">
        <v>3.65</v>
      </c>
      <c r="G77" s="2">
        <v>0.71</v>
      </c>
      <c r="H77" s="2">
        <v>15.62</v>
      </c>
      <c r="I77" s="2">
        <v>4.6500000000000004</v>
      </c>
      <c r="J77" s="2">
        <v>10.969999999999999</v>
      </c>
      <c r="K77" s="2">
        <v>10.969999999999999</v>
      </c>
      <c r="L77" s="2">
        <v>0.93479999999999996</v>
      </c>
    </row>
    <row r="78" spans="1:12" x14ac:dyDescent="0.35">
      <c r="A78" s="2" t="s">
        <v>50</v>
      </c>
      <c r="B78" s="2">
        <v>2.73</v>
      </c>
      <c r="C78" s="2">
        <v>13.44</v>
      </c>
      <c r="D78" s="2">
        <v>12.18</v>
      </c>
      <c r="E78" s="2">
        <v>1.24</v>
      </c>
      <c r="F78" s="2">
        <v>1.56</v>
      </c>
      <c r="G78" s="2">
        <v>0.34</v>
      </c>
      <c r="H78" s="2">
        <v>18.54</v>
      </c>
      <c r="I78" s="2">
        <v>3.49</v>
      </c>
      <c r="J78" s="2">
        <v>15.049999999999999</v>
      </c>
      <c r="K78" s="2">
        <v>15.049999999999999</v>
      </c>
      <c r="L78" s="2">
        <v>0.93</v>
      </c>
    </row>
    <row r="79" spans="1:12" x14ac:dyDescent="0.35">
      <c r="A79" s="2" t="s">
        <v>86</v>
      </c>
      <c r="B79" s="2">
        <v>3.57</v>
      </c>
      <c r="C79" s="2">
        <v>12.03</v>
      </c>
      <c r="D79" s="2">
        <v>12.4</v>
      </c>
      <c r="E79" s="2">
        <v>1.21</v>
      </c>
      <c r="F79" s="2">
        <v>4.3</v>
      </c>
      <c r="G79" s="2">
        <v>2.12</v>
      </c>
      <c r="H79" s="2">
        <v>17.12</v>
      </c>
      <c r="I79" s="2">
        <v>6.02</v>
      </c>
      <c r="J79" s="2">
        <v>11.100000000000001</v>
      </c>
      <c r="K79" s="2">
        <v>11.100000000000001</v>
      </c>
      <c r="L79" s="2">
        <v>0.91400000000000003</v>
      </c>
    </row>
    <row r="80" spans="1:12" x14ac:dyDescent="0.35">
      <c r="A80" s="2" t="s">
        <v>88</v>
      </c>
      <c r="B80" s="2">
        <v>3.21</v>
      </c>
      <c r="C80" s="2">
        <v>6.11</v>
      </c>
      <c r="D80" s="2">
        <v>11.37</v>
      </c>
      <c r="E80" s="2">
        <v>1.2</v>
      </c>
      <c r="F80" s="2">
        <v>2.67</v>
      </c>
      <c r="G80" s="2">
        <v>0.89</v>
      </c>
      <c r="H80" s="2">
        <v>15.71</v>
      </c>
      <c r="I80" s="2">
        <v>2.59</v>
      </c>
      <c r="J80" s="2">
        <v>13.120000000000001</v>
      </c>
      <c r="K80" s="2">
        <v>13.120000000000001</v>
      </c>
      <c r="L80" s="2">
        <v>0.92610000000000003</v>
      </c>
    </row>
    <row r="81" spans="1:12" x14ac:dyDescent="0.35">
      <c r="A81" s="2" t="s">
        <v>57</v>
      </c>
      <c r="B81" s="2">
        <v>2.37</v>
      </c>
      <c r="C81" s="2">
        <v>10.01</v>
      </c>
      <c r="D81" s="2">
        <v>8.86</v>
      </c>
      <c r="E81" s="2">
        <v>1.1499999999999999</v>
      </c>
      <c r="F81" s="2">
        <v>1.89</v>
      </c>
      <c r="G81" s="2">
        <v>1.1100000000000001</v>
      </c>
      <c r="H81" s="2">
        <v>15.74</v>
      </c>
      <c r="I81" s="2">
        <v>1.84</v>
      </c>
      <c r="J81" s="2">
        <v>13.9</v>
      </c>
      <c r="K81" s="2">
        <v>13.9</v>
      </c>
      <c r="L81" s="2">
        <v>0.84330000000000005</v>
      </c>
    </row>
    <row r="82" spans="1:12" x14ac:dyDescent="0.35">
      <c r="A82" s="2" t="s">
        <v>41</v>
      </c>
      <c r="B82" s="2">
        <v>1.66</v>
      </c>
      <c r="C82" s="2">
        <v>8.27</v>
      </c>
      <c r="D82" s="2">
        <v>30.24</v>
      </c>
      <c r="E82" s="2">
        <v>1.1000000000000001</v>
      </c>
      <c r="F82" s="2">
        <v>1.35</v>
      </c>
      <c r="G82" s="2">
        <v>0.67</v>
      </c>
      <c r="H82" s="2">
        <v>28.92</v>
      </c>
      <c r="I82" s="2">
        <v>2.5</v>
      </c>
      <c r="J82" s="2">
        <v>26.42</v>
      </c>
      <c r="K82" s="2">
        <v>26.42</v>
      </c>
      <c r="L82" s="2">
        <v>0.88859999999999995</v>
      </c>
    </row>
    <row r="83" spans="1:12" x14ac:dyDescent="0.35">
      <c r="A83" s="2" t="s">
        <v>96</v>
      </c>
      <c r="B83" s="2">
        <v>2.15</v>
      </c>
      <c r="C83" s="2">
        <v>8.44</v>
      </c>
      <c r="D83" s="2">
        <v>7.74</v>
      </c>
      <c r="E83" s="2">
        <v>1.1000000000000001</v>
      </c>
      <c r="F83" s="2">
        <v>2.2200000000000002</v>
      </c>
      <c r="G83" s="2">
        <v>0.63</v>
      </c>
      <c r="H83" s="2">
        <v>17.579999999999998</v>
      </c>
      <c r="I83" s="2">
        <v>1.8</v>
      </c>
      <c r="J83" s="2">
        <v>15.779999999999998</v>
      </c>
      <c r="K83" s="2">
        <v>15.779999999999998</v>
      </c>
      <c r="L83" s="2">
        <v>0.91469999999999996</v>
      </c>
    </row>
    <row r="84" spans="1:12" x14ac:dyDescent="0.35">
      <c r="A84" s="2" t="s">
        <v>58</v>
      </c>
      <c r="B84" s="2">
        <v>1.73</v>
      </c>
      <c r="C84" s="2">
        <v>7.33</v>
      </c>
      <c r="D84" s="2">
        <v>9.3800000000000008</v>
      </c>
      <c r="E84" s="2">
        <v>1.06</v>
      </c>
      <c r="F84" s="2">
        <v>1.5</v>
      </c>
      <c r="G84" s="2">
        <v>2.4700000000000002</v>
      </c>
      <c r="H84" s="2">
        <v>18.2</v>
      </c>
      <c r="I84" s="2">
        <v>1.69</v>
      </c>
      <c r="J84" s="2">
        <v>16.509999999999998</v>
      </c>
      <c r="K84" s="2">
        <v>16.509999999999998</v>
      </c>
      <c r="L84" s="2">
        <v>0.90490000000000004</v>
      </c>
    </row>
    <row r="85" spans="1:12" x14ac:dyDescent="0.35">
      <c r="A85" s="2" t="s">
        <v>8</v>
      </c>
      <c r="B85" s="2">
        <v>3.41</v>
      </c>
      <c r="C85" s="2">
        <v>8.58</v>
      </c>
      <c r="D85" s="2">
        <v>6.57</v>
      </c>
      <c r="E85" s="2">
        <v>1.02</v>
      </c>
      <c r="F85" s="2">
        <v>1.49</v>
      </c>
      <c r="G85" s="2">
        <v>4.26</v>
      </c>
      <c r="H85" s="2">
        <v>17.55</v>
      </c>
      <c r="I85" s="2">
        <v>4.32</v>
      </c>
      <c r="J85" s="2">
        <v>13.23</v>
      </c>
      <c r="K85" s="2">
        <v>13.23</v>
      </c>
      <c r="L85" s="2">
        <v>0.88300000000000001</v>
      </c>
    </row>
    <row r="86" spans="1:12" x14ac:dyDescent="0.35">
      <c r="A86" s="2" t="s">
        <v>29</v>
      </c>
      <c r="B86" s="2">
        <v>3.04</v>
      </c>
      <c r="C86" s="2">
        <v>9.81</v>
      </c>
      <c r="D86" s="2">
        <v>9.6999999999999993</v>
      </c>
      <c r="E86" s="2">
        <v>1</v>
      </c>
      <c r="F86" s="2">
        <v>2.21</v>
      </c>
      <c r="G86" s="2">
        <v>2.21</v>
      </c>
      <c r="H86" s="2">
        <v>14.94</v>
      </c>
      <c r="I86" s="2">
        <v>4.91</v>
      </c>
      <c r="J86" s="2">
        <v>10.029999999999999</v>
      </c>
      <c r="K86" s="2">
        <v>10.029999999999999</v>
      </c>
      <c r="L86" s="2">
        <v>0.89049999999999996</v>
      </c>
    </row>
    <row r="87" spans="1:12" x14ac:dyDescent="0.35">
      <c r="A87" s="2" t="s">
        <v>10</v>
      </c>
      <c r="B87" s="2">
        <v>5.19</v>
      </c>
      <c r="C87" s="2">
        <v>10.98</v>
      </c>
      <c r="D87" s="2">
        <v>12.81</v>
      </c>
      <c r="E87" s="2">
        <v>0.89</v>
      </c>
      <c r="F87" s="2">
        <v>1.78</v>
      </c>
      <c r="G87" s="2">
        <v>1.57</v>
      </c>
      <c r="H87" s="2">
        <v>16.53</v>
      </c>
      <c r="I87" s="2">
        <v>4.16</v>
      </c>
      <c r="J87" s="2">
        <v>12.370000000000001</v>
      </c>
      <c r="K87" s="2">
        <v>12.370000000000001</v>
      </c>
      <c r="L87" s="2">
        <v>0.92800000000000005</v>
      </c>
    </row>
    <row r="88" spans="1:12" x14ac:dyDescent="0.35">
      <c r="A88" s="2" t="s">
        <v>16</v>
      </c>
      <c r="B88" s="2">
        <v>2.72</v>
      </c>
      <c r="C88" s="2">
        <v>9.3699999999999992</v>
      </c>
      <c r="D88" s="2">
        <v>7.59</v>
      </c>
      <c r="E88" s="2">
        <v>0.88</v>
      </c>
      <c r="F88" s="2">
        <v>0.36</v>
      </c>
      <c r="G88" s="2">
        <v>3.79</v>
      </c>
      <c r="H88" s="2">
        <v>15.76</v>
      </c>
      <c r="I88" s="2">
        <v>2.42</v>
      </c>
      <c r="J88" s="2">
        <v>13.34</v>
      </c>
      <c r="K88" s="2">
        <v>13.34</v>
      </c>
      <c r="L88" s="2">
        <v>0.90710000000000002</v>
      </c>
    </row>
    <row r="89" spans="1:12" x14ac:dyDescent="0.35">
      <c r="A89" s="2" t="s">
        <v>28</v>
      </c>
      <c r="B89" s="2">
        <v>3.35</v>
      </c>
      <c r="C89" s="2">
        <v>9.76</v>
      </c>
      <c r="D89" s="2">
        <v>11.1</v>
      </c>
      <c r="E89" s="2">
        <v>0.87</v>
      </c>
      <c r="F89" s="2">
        <v>3.37</v>
      </c>
      <c r="G89" s="2">
        <v>0.86</v>
      </c>
      <c r="H89" s="2">
        <v>15.09</v>
      </c>
      <c r="I89" s="2">
        <v>5.38</v>
      </c>
      <c r="J89" s="2">
        <v>9.7100000000000009</v>
      </c>
      <c r="K89" s="2">
        <v>9.7100000000000009</v>
      </c>
      <c r="L89" s="2">
        <v>0.94169999999999998</v>
      </c>
    </row>
    <row r="90" spans="1:12" x14ac:dyDescent="0.35">
      <c r="A90" s="2" t="s">
        <v>35</v>
      </c>
      <c r="B90" s="2">
        <v>1.43</v>
      </c>
      <c r="C90" s="2">
        <v>7.33</v>
      </c>
      <c r="D90" s="2">
        <v>18.190000000000001</v>
      </c>
      <c r="E90" s="2">
        <v>0.82</v>
      </c>
      <c r="F90" s="2">
        <v>0.9</v>
      </c>
      <c r="G90" s="2">
        <v>2.21</v>
      </c>
      <c r="H90" s="2">
        <v>21.43</v>
      </c>
      <c r="I90" s="2">
        <v>3.13</v>
      </c>
      <c r="J90" s="2">
        <v>18.3</v>
      </c>
      <c r="K90" s="2">
        <v>18.3</v>
      </c>
      <c r="L90" s="2">
        <v>0.82230000000000003</v>
      </c>
    </row>
    <row r="91" spans="1:12" x14ac:dyDescent="0.35">
      <c r="A91" s="2" t="s">
        <v>6</v>
      </c>
      <c r="B91" s="2">
        <v>3.81</v>
      </c>
      <c r="C91" s="2">
        <v>10.58</v>
      </c>
      <c r="D91" s="2">
        <v>11.9</v>
      </c>
      <c r="E91" s="2">
        <v>0.81</v>
      </c>
      <c r="F91" s="2">
        <v>3.19</v>
      </c>
      <c r="G91" s="2">
        <v>0.62</v>
      </c>
      <c r="H91" s="2">
        <v>15.53</v>
      </c>
      <c r="I91" s="2">
        <v>4.33</v>
      </c>
      <c r="J91" s="2">
        <v>11.2</v>
      </c>
      <c r="K91" s="2">
        <v>11.2</v>
      </c>
      <c r="L91" s="2">
        <v>0.92400000000000004</v>
      </c>
    </row>
    <row r="92" spans="1:12" x14ac:dyDescent="0.35">
      <c r="A92" s="2" t="s">
        <v>26</v>
      </c>
      <c r="B92" s="2">
        <v>3.83</v>
      </c>
      <c r="C92" s="2">
        <v>10.17</v>
      </c>
      <c r="D92" s="2">
        <v>11.82</v>
      </c>
      <c r="E92" s="2">
        <v>0.77</v>
      </c>
      <c r="F92" s="2">
        <v>3.35</v>
      </c>
      <c r="G92" s="2">
        <v>1.59</v>
      </c>
      <c r="H92" s="2">
        <v>15.04</v>
      </c>
      <c r="I92" s="2">
        <v>4.6100000000000003</v>
      </c>
      <c r="J92" s="2">
        <v>10.43</v>
      </c>
      <c r="K92" s="2">
        <v>10.43</v>
      </c>
      <c r="L92" s="2">
        <v>0.92749999999999999</v>
      </c>
    </row>
    <row r="93" spans="1:12" x14ac:dyDescent="0.35">
      <c r="A93" s="2" t="s">
        <v>92</v>
      </c>
      <c r="B93" s="2">
        <v>5.15</v>
      </c>
      <c r="C93" s="2">
        <v>10.130000000000001</v>
      </c>
      <c r="D93" s="2">
        <v>10.99</v>
      </c>
      <c r="E93" s="2">
        <v>0.77</v>
      </c>
      <c r="F93" s="2">
        <v>3.7</v>
      </c>
      <c r="G93" s="2">
        <v>1.46</v>
      </c>
      <c r="H93" s="2">
        <v>14.74</v>
      </c>
      <c r="I93" s="2">
        <v>2.36</v>
      </c>
      <c r="J93" s="2">
        <v>12.38</v>
      </c>
      <c r="K93" s="2">
        <v>12.38</v>
      </c>
      <c r="L93" s="2">
        <v>0.84150000000000003</v>
      </c>
    </row>
    <row r="94" spans="1:12" x14ac:dyDescent="0.35">
      <c r="A94" s="2" t="s">
        <v>93</v>
      </c>
      <c r="B94" s="2">
        <v>3.03</v>
      </c>
      <c r="C94" s="2">
        <v>9.24</v>
      </c>
      <c r="D94" s="2">
        <v>4.04</v>
      </c>
      <c r="E94" s="2">
        <v>0.73</v>
      </c>
      <c r="F94" s="2">
        <v>1.63</v>
      </c>
      <c r="G94" s="2">
        <v>2.08</v>
      </c>
      <c r="H94" s="2">
        <v>15.14</v>
      </c>
      <c r="I94" s="2">
        <v>3.52</v>
      </c>
      <c r="J94" s="2">
        <v>11.620000000000001</v>
      </c>
      <c r="K94" s="2">
        <v>11.620000000000001</v>
      </c>
      <c r="L94" s="2">
        <v>0.91910000000000003</v>
      </c>
    </row>
    <row r="95" spans="1:12" x14ac:dyDescent="0.35">
      <c r="A95" s="2" t="s">
        <v>49</v>
      </c>
      <c r="B95" s="2">
        <v>3.04</v>
      </c>
      <c r="C95" s="2">
        <v>13.74</v>
      </c>
      <c r="D95" s="2">
        <v>10.85</v>
      </c>
      <c r="E95" s="2">
        <v>0.66</v>
      </c>
      <c r="F95" s="2">
        <v>3.09</v>
      </c>
      <c r="G95" s="2">
        <v>1.29</v>
      </c>
      <c r="H95" s="2">
        <v>16.57</v>
      </c>
      <c r="I95" s="2">
        <v>4.42</v>
      </c>
      <c r="J95" s="2">
        <v>12.15</v>
      </c>
      <c r="K95" s="2">
        <v>12.15</v>
      </c>
      <c r="L95" s="2" t="e">
        <v>#N/A</v>
      </c>
    </row>
    <row r="96" spans="1:12" x14ac:dyDescent="0.35">
      <c r="A96" s="2" t="s">
        <v>17</v>
      </c>
      <c r="B96" s="2">
        <v>3.42</v>
      </c>
      <c r="C96" s="2">
        <v>10.35</v>
      </c>
      <c r="D96" s="2">
        <v>11.04</v>
      </c>
      <c r="E96" s="2">
        <v>0.64</v>
      </c>
      <c r="F96" s="2">
        <v>3.24</v>
      </c>
      <c r="G96" s="2">
        <v>1.05</v>
      </c>
      <c r="H96" s="2">
        <v>15.18</v>
      </c>
      <c r="I96" s="2">
        <v>5.12</v>
      </c>
      <c r="J96" s="2">
        <v>10.059999999999999</v>
      </c>
      <c r="K96" s="2">
        <v>10.059999999999999</v>
      </c>
      <c r="L96" s="2">
        <v>0.94350000000000001</v>
      </c>
    </row>
    <row r="97" spans="1:12" x14ac:dyDescent="0.35">
      <c r="A97" s="2" t="s">
        <v>66</v>
      </c>
      <c r="B97" s="2">
        <v>3.66</v>
      </c>
      <c r="C97" s="2">
        <v>9.5399999999999991</v>
      </c>
      <c r="D97" s="2">
        <v>10.09</v>
      </c>
      <c r="E97" s="2">
        <v>0.62</v>
      </c>
      <c r="F97" s="2">
        <v>2.0499999999999998</v>
      </c>
      <c r="G97" s="2">
        <v>0</v>
      </c>
      <c r="H97" s="2">
        <v>15.96</v>
      </c>
      <c r="I97" s="2">
        <v>1.74</v>
      </c>
      <c r="J97" s="2">
        <v>14.22</v>
      </c>
      <c r="K97" s="2">
        <v>14.22</v>
      </c>
      <c r="L97" s="2">
        <v>0.495</v>
      </c>
    </row>
    <row r="98" spans="1:12" x14ac:dyDescent="0.35">
      <c r="A98" s="2" t="s">
        <v>34</v>
      </c>
      <c r="B98" s="2">
        <v>3.68</v>
      </c>
      <c r="C98" s="2">
        <v>10.08</v>
      </c>
      <c r="D98" s="2">
        <v>10.57</v>
      </c>
      <c r="E98" s="2">
        <v>0.55000000000000004</v>
      </c>
      <c r="F98" s="2">
        <v>3.6</v>
      </c>
      <c r="G98" s="2">
        <v>1.3</v>
      </c>
      <c r="H98" s="2">
        <v>16.7</v>
      </c>
      <c r="I98" s="2">
        <v>4.13</v>
      </c>
      <c r="J98" s="2">
        <v>12.57</v>
      </c>
      <c r="K98" s="2">
        <v>12.57</v>
      </c>
      <c r="L98" s="2">
        <v>0.90329999999999999</v>
      </c>
    </row>
    <row r="99" spans="1:12" x14ac:dyDescent="0.35">
      <c r="A99" s="2" t="s">
        <v>25</v>
      </c>
      <c r="B99" s="2">
        <v>3.71</v>
      </c>
      <c r="C99" s="2">
        <v>10.36</v>
      </c>
      <c r="D99" s="2">
        <v>12.5</v>
      </c>
      <c r="E99" s="2">
        <v>0.46</v>
      </c>
      <c r="F99" s="2">
        <v>2.08</v>
      </c>
      <c r="G99" s="2">
        <v>1.59</v>
      </c>
      <c r="H99" s="2">
        <v>14.89</v>
      </c>
      <c r="I99" s="2">
        <v>4.0599999999999996</v>
      </c>
      <c r="J99" s="2">
        <v>10.830000000000002</v>
      </c>
      <c r="K99" s="2">
        <v>10.830000000000002</v>
      </c>
      <c r="L99" s="2">
        <v>0.87180000000000002</v>
      </c>
    </row>
    <row r="100" spans="1:12" x14ac:dyDescent="0.35">
      <c r="A100" s="2" t="s">
        <v>74</v>
      </c>
      <c r="B100" s="2">
        <v>1.44</v>
      </c>
      <c r="C100" s="2">
        <v>6.15</v>
      </c>
      <c r="D100" s="2">
        <v>10.73</v>
      </c>
      <c r="E100" s="2">
        <v>0.22</v>
      </c>
      <c r="F100" s="2">
        <v>1.43</v>
      </c>
      <c r="G100" s="2">
        <v>0</v>
      </c>
      <c r="H100" s="2">
        <v>24.01</v>
      </c>
      <c r="I100" s="2">
        <v>0</v>
      </c>
      <c r="J100" s="2">
        <v>24.01</v>
      </c>
      <c r="K100" s="2">
        <v>24.01</v>
      </c>
      <c r="L100" s="2">
        <v>0</v>
      </c>
    </row>
    <row r="101" spans="1:12" x14ac:dyDescent="0.35">
      <c r="A101" s="2" t="s">
        <v>5</v>
      </c>
      <c r="B101" s="2">
        <v>0.21</v>
      </c>
      <c r="C101" s="2">
        <v>0.67</v>
      </c>
      <c r="D101" s="2">
        <v>0.93</v>
      </c>
      <c r="E101" s="2">
        <v>7.0000000000000007E-2</v>
      </c>
      <c r="F101" s="2">
        <v>0.35</v>
      </c>
      <c r="G101" s="2">
        <v>15.66</v>
      </c>
      <c r="H101" s="2">
        <v>1.06</v>
      </c>
      <c r="I101" s="2">
        <v>17.21</v>
      </c>
      <c r="J101" s="2">
        <v>-16.150000000000002</v>
      </c>
      <c r="K101" s="2">
        <v>16.150000000000002</v>
      </c>
      <c r="L101" s="2">
        <v>-0.20039999999999999</v>
      </c>
    </row>
    <row r="102" spans="1:12" x14ac:dyDescent="0.35">
      <c r="A102" s="2" t="s">
        <v>31</v>
      </c>
      <c r="B102" s="2">
        <v>0</v>
      </c>
      <c r="C102" s="2">
        <v>0</v>
      </c>
      <c r="D102" s="2">
        <v>0</v>
      </c>
      <c r="E102" s="2">
        <v>0</v>
      </c>
      <c r="F102" s="2">
        <v>4.0999999999999996</v>
      </c>
      <c r="G102" s="2">
        <v>1.2</v>
      </c>
      <c r="H102" s="2">
        <v>0.67</v>
      </c>
      <c r="I102" s="2">
        <v>3.51</v>
      </c>
      <c r="J102" s="2">
        <v>-2.84</v>
      </c>
      <c r="K102" s="2">
        <v>2.84</v>
      </c>
      <c r="L102" s="2">
        <v>-1.8655999999999999</v>
      </c>
    </row>
    <row r="103" spans="1:12" x14ac:dyDescent="0.35">
      <c r="A103" s="2" t="s">
        <v>64</v>
      </c>
      <c r="B103" s="2">
        <v>0</v>
      </c>
      <c r="C103" s="2">
        <v>0</v>
      </c>
      <c r="D103" s="2">
        <v>0</v>
      </c>
      <c r="E103" s="2">
        <v>0</v>
      </c>
      <c r="F103" s="2">
        <v>0</v>
      </c>
      <c r="G103" s="2">
        <v>5.84</v>
      </c>
      <c r="H103" s="2">
        <v>0</v>
      </c>
      <c r="I103" s="2">
        <v>1.82</v>
      </c>
      <c r="J103" s="2">
        <v>-1.82</v>
      </c>
      <c r="K103" s="2">
        <v>1.82</v>
      </c>
      <c r="L103" s="2">
        <v>-0.113</v>
      </c>
    </row>
    <row r="104" spans="1:12" x14ac:dyDescent="0.35">
      <c r="A104" s="2" t="s">
        <v>36</v>
      </c>
      <c r="B104" s="2">
        <v>0</v>
      </c>
      <c r="C104" s="2">
        <v>0</v>
      </c>
      <c r="D104" s="2">
        <v>0</v>
      </c>
      <c r="E104" s="2">
        <v>0</v>
      </c>
      <c r="F104" s="2">
        <v>0</v>
      </c>
      <c r="G104" s="2">
        <v>1.55</v>
      </c>
      <c r="H104" s="2">
        <v>0</v>
      </c>
      <c r="I104" s="2">
        <v>1.17</v>
      </c>
      <c r="J104" s="2">
        <v>-1.17</v>
      </c>
      <c r="K104" s="2">
        <v>1.17</v>
      </c>
      <c r="L104" s="2">
        <v>-0.29930000000000001</v>
      </c>
    </row>
  </sheetData>
  <autoFilter ref="A1:L104" xr:uid="{CDF34DA4-C6EA-4593-B988-6F5C81F56E45}">
    <sortState xmlns:xlrd2="http://schemas.microsoft.com/office/spreadsheetml/2017/richdata2" ref="A2:L104">
      <sortCondition descending="1" ref="E1:E104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Volatility by City and Year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Carin Gunawan</cp:lastModifiedBy>
  <dcterms:created xsi:type="dcterms:W3CDTF">2025-11-12T16:41:32Z</dcterms:created>
  <dcterms:modified xsi:type="dcterms:W3CDTF">2025-11-21T17:28:31Z</dcterms:modified>
</cp:coreProperties>
</file>