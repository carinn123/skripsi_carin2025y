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skripsi_carin\"/>
    </mc:Choice>
  </mc:AlternateContent>
  <xr:revisionPtr revIDLastSave="0" documentId="13_ncr:1_{8222A53B-0003-4559-B01E-0D9FE492AD6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3" sheetId="4" r:id="rId1"/>
    <sheet name="Volatility by City and Year" sheetId="1" r:id="rId2"/>
    <sheet name="Sheet2" sheetId="3" r:id="rId3"/>
    <sheet name="Sheet1" sheetId="2" r:id="rId4"/>
  </sheets>
  <definedNames>
    <definedName name="_xlnm._FilterDatabase" localSheetId="3" hidden="1">Sheet1!$A$1:$G$104</definedName>
    <definedName name="_xlnm._FilterDatabase" localSheetId="1" hidden="1">'Volatility by City and Year'!$A$1:$K$104</definedName>
    <definedName name="_xlcn.WorksheetConnection_Sheet1B1G1041" hidden="1">Sheet1!$B$1:$G$104</definedName>
  </definedNames>
  <calcPr calcId="191029"/>
  <pivotCaches>
    <pivotCache cacheId="3" r:id="rId5"/>
    <pivotCache cacheId="8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B$1:$G$10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69" i="1"/>
  <c r="K70" i="1"/>
  <c r="K86" i="1"/>
  <c r="K56" i="1"/>
  <c r="K57" i="1"/>
  <c r="K71" i="1"/>
  <c r="K51" i="1"/>
  <c r="K48" i="1"/>
  <c r="K98" i="1"/>
  <c r="K40" i="1"/>
  <c r="K19" i="1"/>
  <c r="K75" i="1"/>
  <c r="K101" i="1"/>
  <c r="K20" i="1"/>
  <c r="K17" i="1"/>
  <c r="K72" i="1"/>
  <c r="K10" i="1"/>
  <c r="K63" i="1"/>
  <c r="K37" i="1"/>
  <c r="K49" i="1"/>
  <c r="J95" i="1"/>
  <c r="K95" i="1" s="1"/>
  <c r="J97" i="1"/>
  <c r="K97" i="1" s="1"/>
  <c r="J94" i="1"/>
  <c r="K94" i="1" s="1"/>
  <c r="J91" i="1"/>
  <c r="K91" i="1" s="1"/>
  <c r="J64" i="1"/>
  <c r="K64" i="1" s="1"/>
  <c r="J67" i="1"/>
  <c r="K67" i="1" s="1"/>
  <c r="J79" i="1"/>
  <c r="K79" i="1" s="1"/>
  <c r="J80" i="1"/>
  <c r="K80" i="1" s="1"/>
  <c r="J65" i="1"/>
  <c r="K65" i="1" s="1"/>
  <c r="J66" i="1"/>
  <c r="K66" i="1" s="1"/>
  <c r="J89" i="1"/>
  <c r="K89" i="1" s="1"/>
  <c r="J84" i="1"/>
  <c r="K84" i="1" s="1"/>
  <c r="J77" i="1"/>
  <c r="K77" i="1" s="1"/>
  <c r="J93" i="1"/>
  <c r="K93" i="1" s="1"/>
  <c r="J59" i="1"/>
  <c r="K59" i="1" s="1"/>
  <c r="J85" i="1"/>
  <c r="K85" i="1" s="1"/>
  <c r="J52" i="1"/>
  <c r="K52" i="1" s="1"/>
  <c r="J81" i="1"/>
  <c r="K81" i="1" s="1"/>
  <c r="J83" i="1"/>
  <c r="K83" i="1" s="1"/>
  <c r="J88" i="1"/>
  <c r="K88" i="1" s="1"/>
  <c r="J68" i="1"/>
  <c r="K68" i="1" s="1"/>
  <c r="J2" i="1"/>
  <c r="K2" i="1" s="1"/>
  <c r="J96" i="1"/>
  <c r="K96" i="1" s="1"/>
  <c r="J45" i="1"/>
  <c r="K45" i="1" s="1"/>
  <c r="J47" i="1"/>
  <c r="K47" i="1" s="1"/>
  <c r="J69" i="1"/>
  <c r="J70" i="1"/>
  <c r="J86" i="1"/>
  <c r="J56" i="1"/>
  <c r="J57" i="1"/>
  <c r="J71" i="1"/>
  <c r="J51" i="1"/>
  <c r="J87" i="1"/>
  <c r="K87" i="1" s="1"/>
  <c r="J92" i="1"/>
  <c r="K92" i="1" s="1"/>
  <c r="J76" i="1"/>
  <c r="K76" i="1" s="1"/>
  <c r="J39" i="1"/>
  <c r="K39" i="1" s="1"/>
  <c r="J73" i="1"/>
  <c r="K73" i="1" s="1"/>
  <c r="J28" i="1"/>
  <c r="K28" i="1" s="1"/>
  <c r="J55" i="1"/>
  <c r="K55" i="1" s="1"/>
  <c r="J74" i="1"/>
  <c r="K74" i="1" s="1"/>
  <c r="J54" i="1"/>
  <c r="K54" i="1" s="1"/>
  <c r="J48" i="1"/>
  <c r="J98" i="1"/>
  <c r="J99" i="1"/>
  <c r="K99" i="1" s="1"/>
  <c r="J21" i="1"/>
  <c r="K21" i="1" s="1"/>
  <c r="J35" i="1"/>
  <c r="K35" i="1" s="1"/>
  <c r="J31" i="1"/>
  <c r="K31" i="1" s="1"/>
  <c r="J82" i="1"/>
  <c r="K82" i="1" s="1"/>
  <c r="J25" i="1"/>
  <c r="K25" i="1" s="1"/>
  <c r="J26" i="1"/>
  <c r="K26" i="1" s="1"/>
  <c r="J58" i="1"/>
  <c r="K58" i="1" s="1"/>
  <c r="J50" i="1"/>
  <c r="K50" i="1" s="1"/>
  <c r="J36" i="1"/>
  <c r="K36" i="1" s="1"/>
  <c r="J78" i="1"/>
  <c r="K78" i="1" s="1"/>
  <c r="J32" i="1"/>
  <c r="K32" i="1" s="1"/>
  <c r="J42" i="1"/>
  <c r="K42" i="1" s="1"/>
  <c r="J100" i="1"/>
  <c r="K100" i="1" s="1"/>
  <c r="J40" i="1"/>
  <c r="J19" i="1"/>
  <c r="J75" i="1"/>
  <c r="J101" i="1"/>
  <c r="J20" i="1"/>
  <c r="J17" i="1"/>
  <c r="J72" i="1"/>
  <c r="J7" i="1"/>
  <c r="K7" i="1" s="1"/>
  <c r="J8" i="1"/>
  <c r="K8" i="1" s="1"/>
  <c r="J12" i="1"/>
  <c r="K12" i="1" s="1"/>
  <c r="J46" i="1"/>
  <c r="K46" i="1" s="1"/>
  <c r="J62" i="1"/>
  <c r="K62" i="1" s="1"/>
  <c r="J30" i="1"/>
  <c r="K30" i="1" s="1"/>
  <c r="J44" i="1"/>
  <c r="K44" i="1" s="1"/>
  <c r="J38" i="1"/>
  <c r="K38" i="1" s="1"/>
  <c r="J6" i="1"/>
  <c r="K6" i="1" s="1"/>
  <c r="J10" i="1"/>
  <c r="J63" i="1"/>
  <c r="J37" i="1"/>
  <c r="J49" i="1"/>
  <c r="J18" i="1"/>
  <c r="K18" i="1" s="1"/>
  <c r="J27" i="1"/>
  <c r="K27" i="1" s="1"/>
  <c r="J22" i="1"/>
  <c r="K22" i="1" s="1"/>
  <c r="J24" i="1"/>
  <c r="K24" i="1" s="1"/>
  <c r="J41" i="1"/>
  <c r="K41" i="1" s="1"/>
  <c r="J3" i="1"/>
  <c r="K3" i="1" s="1"/>
  <c r="J15" i="1"/>
  <c r="K15" i="1" s="1"/>
  <c r="J43" i="1"/>
  <c r="K43" i="1" s="1"/>
  <c r="J53" i="1"/>
  <c r="K53" i="1" s="1"/>
  <c r="J33" i="1"/>
  <c r="K33" i="1" s="1"/>
  <c r="J5" i="1"/>
  <c r="K5" i="1" s="1"/>
  <c r="J34" i="1"/>
  <c r="K34" i="1" s="1"/>
  <c r="J90" i="1"/>
  <c r="K90" i="1" s="1"/>
  <c r="J11" i="1"/>
  <c r="K11" i="1" s="1"/>
  <c r="J29" i="1"/>
  <c r="K29" i="1" s="1"/>
  <c r="J103" i="1"/>
  <c r="K103" i="1" s="1"/>
  <c r="J14" i="1"/>
  <c r="K14" i="1" s="1"/>
  <c r="J23" i="1"/>
  <c r="K23" i="1" s="1"/>
  <c r="J13" i="1"/>
  <c r="K13" i="1" s="1"/>
  <c r="J16" i="1"/>
  <c r="K16" i="1" s="1"/>
  <c r="J102" i="1"/>
  <c r="K102" i="1" s="1"/>
  <c r="J9" i="1"/>
  <c r="K9" i="1" s="1"/>
  <c r="J4" i="1"/>
  <c r="J60" i="1"/>
  <c r="K60" i="1" s="1"/>
  <c r="J61" i="1"/>
  <c r="K61" i="1" s="1"/>
  <c r="J104" i="1"/>
  <c r="K10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4A225-B36C-4707-8A70-60DB659319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D8982C9-A77A-4ACF-8A9D-4376F06373CC}" name="WorksheetConnection_Sheet1!$B$1:$G$10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B1G1041"/>
        </x15:connection>
      </ext>
    </extLst>
  </connection>
</connections>
</file>

<file path=xl/sharedStrings.xml><?xml version="1.0" encoding="utf-8"?>
<sst xmlns="http://schemas.openxmlformats.org/spreadsheetml/2006/main" count="215" uniqueCount="110">
  <si>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</si>
  <si>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</si>
  <si>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</si>
  <si>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</si>
  <si>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</si>
  <si>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</si>
  <si>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</si>
  <si>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</si>
  <si>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</si>
  <si>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</si>
  <si>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</si>
  <si>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</si>
  <si>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</si>
  <si>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</si>
  <si>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</si>
  <si>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</si>
  <si>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</si>
  <si>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</si>
  <si>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</si>
  <si>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</si>
  <si>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</si>
  <si>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</si>
  <si>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</si>
  <si>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</si>
  <si>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</si>
  <si>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</si>
  <si>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</si>
  <si>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</si>
  <si>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</si>
  <si>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</si>
  <si>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</si>
  <si>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</si>
  <si>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</si>
  <si>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</si>
  <si>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</si>
  <si>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</si>
  <si>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</si>
  <si>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</si>
  <si>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</si>
  <si>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</si>
  <si>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</si>
  <si>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</si>
  <si>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</si>
  <si>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</si>
  <si>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</si>
  <si>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</si>
  <si>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</si>
  <si>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>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</si>
  <si>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</si>
  <si>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</si>
  <si>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</si>
  <si>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</si>
  <si>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</si>
  <si>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</si>
  <si>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</si>
  <si>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</si>
  <si>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</si>
  <si>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</si>
  <si>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</si>
  <si>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</si>
  <si>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</si>
  <si>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</si>
  <si>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</si>
  <si>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</si>
  <si>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</si>
  <si>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</si>
  <si>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</si>
  <si>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</si>
  <si>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</si>
  <si>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</si>
  <si>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</si>
  <si>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</si>
  <si>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</si>
  <si>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</si>
  <si>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</si>
  <si>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</si>
  <si>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</si>
  <si>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</si>
  <si>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</si>
  <si>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</si>
  <si>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</si>
  <si>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</si>
  <si>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</si>
  <si>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</si>
  <si>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</si>
  <si>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</si>
  <si>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</si>
  <si>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</si>
  <si>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</si>
  <si>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</si>
  <si>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</si>
  <si>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</si>
  <si>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</si>
  <si>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</si>
  <si>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</si>
  <si>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</si>
  <si>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</si>
  <si>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</si>
  <si>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</si>
  <si>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</si>
  <si>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</si>
  <si>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</si>
  <si>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</si>
  <si>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Row Labels</t>
  </si>
  <si>
    <t>Grand Total</t>
  </si>
  <si>
    <t>selisih</t>
  </si>
  <si>
    <t xml:space="preserve">Train Period </t>
  </si>
  <si>
    <t xml:space="preserve">Test Period </t>
  </si>
  <si>
    <t>ABS(Selisih)</t>
  </si>
  <si>
    <t>Nama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</si>
</sst>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73.966003703703" createdVersion="8" refreshedVersion="8" minRefreshableVersion="3" recordCount="103" xr:uid="{8FCC6630-E35C-42C4-9EC0-90F86FF71A51}">
  <cacheSource type="worksheet">
    <worksheetSource ref="B1:G104" sheet="Sheet1"/>
  </cacheSource>
  <cacheFields count="6">
    <cacheField name="2020" numFmtId="0">
      <sharedItems containsSemiMixedTypes="0" containsString="0" containsNumber="1" minValue="0" maxValue="17.100000000000001" count="83">
        <n v="2.4700000000000002"/>
        <n v="10.58"/>
        <n v="0.21"/>
        <n v="3.81"/>
        <n v="0"/>
        <n v="3.41"/>
        <n v="2.56"/>
        <n v="5.19"/>
        <n v="1.71"/>
        <n v="1.59"/>
        <n v="3.69"/>
        <n v="2.34"/>
        <n v="1.28"/>
        <n v="2.72"/>
        <n v="3.42"/>
        <n v="1.6"/>
        <n v="3.88"/>
        <n v="1.82"/>
        <n v="4.79"/>
        <n v="3.73"/>
        <n v="3.99"/>
        <n v="4.6399999999999997"/>
        <n v="3.71"/>
        <n v="3.83"/>
        <n v="2.16"/>
        <n v="3.35"/>
        <n v="3.04"/>
        <n v="5.52"/>
        <n v="3.55"/>
        <n v="3.68"/>
        <n v="1.43"/>
        <n v="4.6500000000000004"/>
        <n v="4.3"/>
        <n v="3.27"/>
        <n v="1.66"/>
        <n v="4.5"/>
        <n v="9.6300000000000008"/>
        <n v="2.6"/>
        <n v="2.5099999999999998"/>
        <n v="3.43"/>
        <n v="2.73"/>
        <n v="3.52"/>
        <n v="2.02"/>
        <n v="2.88"/>
        <n v="2.1"/>
        <n v="2.04"/>
        <n v="1.19"/>
        <n v="2.37"/>
        <n v="1.73"/>
        <n v="3.13"/>
        <n v="0.68"/>
        <n v="4.4000000000000004"/>
        <n v="2.25"/>
        <n v="0.32"/>
        <n v="3.59"/>
        <n v="3.66"/>
        <n v="1.77"/>
        <n v="5.32"/>
        <n v="3.8"/>
        <n v="3.92"/>
        <n v="1.44"/>
        <n v="4.5999999999999996"/>
        <n v="4.18"/>
        <n v="5.66"/>
        <n v="1.91"/>
        <n v="3.95"/>
        <n v="3.9"/>
        <n v="3.2"/>
        <n v="2.76"/>
        <n v="17.100000000000001"/>
        <n v="2.29"/>
        <n v="3.57"/>
        <n v="3.21"/>
        <n v="4.05"/>
        <n v="3.03"/>
        <n v="2.99"/>
        <n v="5.15"/>
        <n v="1.99"/>
        <n v="2.15"/>
        <n v="1.88"/>
        <n v="3.12"/>
        <n v="0.48"/>
        <n v="0.3"/>
      </sharedItems>
    </cacheField>
    <cacheField name="2021" numFmtId="0">
      <sharedItems containsSemiMixedTypes="0" containsString="0" containsNumber="1" minValue="0" maxValue="17.32"/>
    </cacheField>
    <cacheField name="2022" numFmtId="0">
      <sharedItems containsSemiMixedTypes="0" containsString="0" containsNumber="1" minValue="0" maxValue="33.08"/>
    </cacheField>
    <cacheField name="2023" numFmtId="0">
      <sharedItems containsSemiMixedTypes="0" containsString="0" containsNumber="1" minValue="0" maxValue="7.45"/>
    </cacheField>
    <cacheField name="2024" numFmtId="0">
      <sharedItems containsSemiMixedTypes="0" containsString="0" containsNumber="1" minValue="0" maxValue="7.78"/>
    </cacheField>
    <cacheField name="2025" numFmtId="0">
      <sharedItems containsSemiMixedTypes="0" containsString="0" containsNumber="1" minValue="0" maxValue="15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3.966625231478" backgroundQuery="1" createdVersion="8" refreshedVersion="8" minRefreshableVersion="3" recordCount="0" supportSubquery="1" supportAdvancedDrill="1" xr:uid="{8E08729E-08A2-4554-B5EE-52274129B530}">
  <cacheSource type="external" connectionId="1"/>
  <cacheFields count="1">
    <cacheField name="[Range].[2020].[2020]" caption="2020" numFmtId="0" level="1">
      <sharedItems containsSemiMixedTypes="0" containsString="0" containsNumber="1" minValue="0" maxValue="17.100000000000001" count="83">
        <n v="0"/>
        <n v="0.21"/>
        <n v="0.3"/>
        <n v="0.32"/>
        <n v="0.48"/>
        <n v="0.68"/>
        <n v="1.19"/>
        <n v="1.28"/>
        <n v="1.43"/>
        <n v="1.44"/>
        <n v="1.59"/>
        <n v="1.6"/>
        <n v="1.66"/>
        <n v="1.71"/>
        <n v="1.73"/>
        <n v="1.77"/>
        <n v="1.82"/>
        <n v="1.88"/>
        <n v="1.91"/>
        <n v="1.99"/>
        <n v="2.02"/>
        <n v="2.04"/>
        <n v="2.1"/>
        <n v="2.15"/>
        <n v="2.16"/>
        <n v="2.25"/>
        <n v="2.29"/>
        <n v="2.34"/>
        <n v="2.37"/>
        <n v="2.4700000000000002"/>
        <n v="2.5099999999999998"/>
        <n v="2.56"/>
        <n v="2.6"/>
        <n v="2.72"/>
        <n v="2.73"/>
        <n v="2.76"/>
        <n v="2.88"/>
        <n v="2.99"/>
        <n v="3.03"/>
        <n v="3.04"/>
        <n v="3.12"/>
        <n v="3.13"/>
        <n v="3.2"/>
        <n v="3.21"/>
        <n v="3.27"/>
        <n v="3.35"/>
        <n v="3.41"/>
        <n v="3.42"/>
        <n v="3.43"/>
        <n v="3.52"/>
        <n v="3.55"/>
        <n v="3.57"/>
        <n v="3.59"/>
        <n v="3.66"/>
        <n v="3.68"/>
        <n v="3.69"/>
        <n v="3.71"/>
        <n v="3.73"/>
        <n v="3.8"/>
        <n v="3.81"/>
        <n v="3.83"/>
        <n v="3.88"/>
        <n v="3.9"/>
        <n v="3.92"/>
        <n v="3.95"/>
        <n v="3.99"/>
        <n v="4.05"/>
        <n v="4.18"/>
        <n v="4.3"/>
        <n v="4.4000000000000004"/>
        <n v="4.5"/>
        <n v="4.5999999999999996"/>
        <n v="4.6399999999999997"/>
        <n v="4.6500000000000004"/>
        <n v="4.79"/>
        <n v="5.15"/>
        <n v="5.19"/>
        <n v="5.32"/>
        <n v="5.52"/>
        <n v="5.66"/>
        <n v="9.6300000000000008"/>
        <n v="10.58"/>
        <n v="17.100000000000001"/>
      </sharedItems>
    </cacheField>
  </cacheFields>
  <cacheHierarchies count="8">
    <cacheHierarchy uniqueName="[Range].[2020]" caption="2020" attribute="1" defaultMemberUniqueName="[Range].[2020].[All]" allUniqueName="[Range].[2020].[All]" dimensionUniqueName="[Range]" displayFolder="" count="2" memberValueDatatype="5" unbalanced="0">
      <fieldsUsage count="2">
        <fieldUsage x="-1"/>
        <fieldUsage x="0"/>
      </fieldsUsage>
    </cacheHierarchy>
    <cacheHierarchy uniqueName="[Range].[2021]" caption="2021" attribute="1" defaultMemberUniqueName="[Range].[2021].[All]" allUniqueName="[Range].[2021].[All]" dimensionUniqueName="[Range]" displayFolder="" count="0" memberValueDatatype="5" unbalanced="0"/>
    <cacheHierarchy uniqueName="[Range].[2022]" caption="2022" attribute="1" defaultMemberUniqueName="[Range].[2022].[All]" allUniqueName="[Range].[2022].[All]" dimensionUniqueName="[Range]" displayFolder="" count="0" memberValueDatatype="5" unbalanced="0"/>
    <cacheHierarchy uniqueName="[Range].[2023]" caption="2023" attribute="1" defaultMemberUniqueName="[Range].[2023].[All]" allUniqueName="[Range].[2023].[All]" dimensionUniqueName="[Range]" displayFolder="" count="0" memberValueDatatype="5" unbalanced="0"/>
    <cacheHierarchy uniqueName="[Range].[2024]" caption="2024" attribute="1" defaultMemberUniqueName="[Range].[2024].[All]" allUniqueName="[Range].[2024].[All]" dimensionUniqueName="[Range]" displayFolder="" count="0" memberValueDatatype="5" unbalanced="0"/>
    <cacheHierarchy uniqueName="[Range].[2025]" caption="2025" attribute="1" defaultMemberUniqueName="[Range].[2025].[All]" allUniqueName="[Range].[2025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n v="7.18"/>
    <n v="11.63"/>
    <n v="2.67"/>
    <n v="2.04"/>
    <n v="0.5"/>
  </r>
  <r>
    <x v="1"/>
    <n v="8.08"/>
    <n v="1.86"/>
    <n v="3.55"/>
    <n v="0.56999999999999995"/>
    <n v="2.44"/>
  </r>
  <r>
    <x v="1"/>
    <n v="8.08"/>
    <n v="1.86"/>
    <n v="3.55"/>
    <n v="0.56999999999999995"/>
    <n v="0"/>
  </r>
  <r>
    <x v="2"/>
    <n v="0.67"/>
    <n v="0.93"/>
    <n v="7.0000000000000007E-2"/>
    <n v="0.35"/>
    <n v="15.66"/>
  </r>
  <r>
    <x v="3"/>
    <n v="10.58"/>
    <n v="11.9"/>
    <n v="0.81"/>
    <n v="3.19"/>
    <n v="0.62"/>
  </r>
  <r>
    <x v="4"/>
    <n v="0"/>
    <n v="0.55000000000000004"/>
    <n v="2.2799999999999998"/>
    <n v="2.5099999999999998"/>
    <n v="2.62"/>
  </r>
  <r>
    <x v="5"/>
    <n v="8.58"/>
    <n v="6.57"/>
    <n v="1.02"/>
    <n v="1.49"/>
    <n v="4.26"/>
  </r>
  <r>
    <x v="6"/>
    <n v="11.1"/>
    <n v="10.36"/>
    <n v="2.41"/>
    <n v="4.76"/>
    <n v="1.05"/>
  </r>
  <r>
    <x v="7"/>
    <n v="10.98"/>
    <n v="12.81"/>
    <n v="0.89"/>
    <n v="1.78"/>
    <n v="1.57"/>
  </r>
  <r>
    <x v="8"/>
    <n v="12.48"/>
    <n v="17.04"/>
    <n v="2.38"/>
    <n v="6.28"/>
    <n v="0.62"/>
  </r>
  <r>
    <x v="9"/>
    <n v="8.3800000000000008"/>
    <n v="33.08"/>
    <n v="1.69"/>
    <n v="1.64"/>
    <n v="3.79"/>
  </r>
  <r>
    <x v="10"/>
    <n v="9.85"/>
    <n v="9.7799999999999994"/>
    <n v="3.67"/>
    <n v="4.05"/>
    <n v="0.93"/>
  </r>
  <r>
    <x v="11"/>
    <n v="10.6"/>
    <n v="14.47"/>
    <n v="4.3600000000000003"/>
    <n v="3.08"/>
    <n v="1.0900000000000001"/>
  </r>
  <r>
    <x v="12"/>
    <n v="6.81"/>
    <n v="13.96"/>
    <n v="3.42"/>
    <n v="3.9"/>
    <n v="1.02"/>
  </r>
  <r>
    <x v="13"/>
    <n v="9.3699999999999992"/>
    <n v="7.59"/>
    <n v="0.88"/>
    <n v="0.36"/>
    <n v="3.79"/>
  </r>
  <r>
    <x v="14"/>
    <n v="10.35"/>
    <n v="11.04"/>
    <n v="0.64"/>
    <n v="3.24"/>
    <n v="1.05"/>
  </r>
  <r>
    <x v="15"/>
    <n v="9.0399999999999991"/>
    <n v="11.4"/>
    <n v="2.74"/>
    <n v="1.99"/>
    <n v="2.15"/>
  </r>
  <r>
    <x v="16"/>
    <n v="12.08"/>
    <n v="13.42"/>
    <n v="3.33"/>
    <n v="4.42"/>
    <n v="2.5299999999999998"/>
  </r>
  <r>
    <x v="17"/>
    <n v="10.49"/>
    <n v="11.88"/>
    <n v="2.91"/>
    <n v="3.11"/>
    <n v="1.7"/>
  </r>
  <r>
    <x v="18"/>
    <n v="10.130000000000001"/>
    <n v="13.67"/>
    <n v="7.45"/>
    <n v="3.25"/>
    <n v="2.06"/>
  </r>
  <r>
    <x v="19"/>
    <n v="10.18"/>
    <n v="11.73"/>
    <n v="1.37"/>
    <n v="4.09"/>
    <n v="0.54"/>
  </r>
  <r>
    <x v="20"/>
    <n v="10.51"/>
    <n v="12.36"/>
    <n v="2.58"/>
    <n v="4.03"/>
    <n v="1.22"/>
  </r>
  <r>
    <x v="21"/>
    <n v="9.9600000000000009"/>
    <n v="9.94"/>
    <n v="3.08"/>
    <n v="3.62"/>
    <n v="1.67"/>
  </r>
  <r>
    <x v="22"/>
    <n v="10.36"/>
    <n v="12.5"/>
    <n v="0.46"/>
    <n v="2.08"/>
    <n v="1.59"/>
  </r>
  <r>
    <x v="23"/>
    <n v="10.17"/>
    <n v="11.82"/>
    <n v="0.77"/>
    <n v="3.35"/>
    <n v="1.59"/>
  </r>
  <r>
    <x v="24"/>
    <n v="9.23"/>
    <n v="4.83"/>
    <n v="2.83"/>
    <n v="1.62"/>
    <n v="1.62"/>
  </r>
  <r>
    <x v="25"/>
    <n v="9.76"/>
    <n v="11.1"/>
    <n v="0.87"/>
    <n v="3.37"/>
    <n v="0.86"/>
  </r>
  <r>
    <x v="26"/>
    <n v="9.81"/>
    <n v="9.6999999999999993"/>
    <n v="1"/>
    <n v="2.21"/>
    <n v="2.21"/>
  </r>
  <r>
    <x v="27"/>
    <n v="13.75"/>
    <n v="12.67"/>
    <n v="4.0599999999999996"/>
    <n v="2.99"/>
    <n v="1.17"/>
  </r>
  <r>
    <x v="4"/>
    <n v="0"/>
    <n v="0"/>
    <n v="0"/>
    <n v="4.0999999999999996"/>
    <n v="1.2"/>
  </r>
  <r>
    <x v="4"/>
    <n v="8.17"/>
    <n v="6.85"/>
    <n v="3.69"/>
    <n v="2.74"/>
    <n v="0.44"/>
  </r>
  <r>
    <x v="28"/>
    <n v="10.08"/>
    <n v="8.3699999999999992"/>
    <n v="2.39"/>
    <n v="3.23"/>
    <n v="0.76"/>
  </r>
  <r>
    <x v="29"/>
    <n v="10.08"/>
    <n v="10.57"/>
    <n v="0.55000000000000004"/>
    <n v="3.6"/>
    <n v="1.3"/>
  </r>
  <r>
    <x v="30"/>
    <n v="7.33"/>
    <n v="18.190000000000001"/>
    <n v="0.82"/>
    <n v="0.9"/>
    <n v="2.21"/>
  </r>
  <r>
    <x v="4"/>
    <n v="0"/>
    <n v="0"/>
    <n v="0"/>
    <n v="0"/>
    <n v="1.55"/>
  </r>
  <r>
    <x v="31"/>
    <n v="11.09"/>
    <n v="12.11"/>
    <n v="2.78"/>
    <n v="4.5199999999999996"/>
    <n v="1.69"/>
  </r>
  <r>
    <x v="4"/>
    <n v="11.89"/>
    <n v="10.38"/>
    <n v="2.67"/>
    <n v="1.19"/>
    <n v="0.87"/>
  </r>
  <r>
    <x v="32"/>
    <n v="11.47"/>
    <n v="11.48"/>
    <n v="2.16"/>
    <n v="4.3899999999999997"/>
    <n v="1.3"/>
  </r>
  <r>
    <x v="33"/>
    <n v="10.39"/>
    <n v="12.7"/>
    <n v="1.34"/>
    <n v="3.65"/>
    <n v="0.6"/>
  </r>
  <r>
    <x v="34"/>
    <n v="8.27"/>
    <n v="30.24"/>
    <n v="1.1000000000000001"/>
    <n v="1.35"/>
    <n v="0.67"/>
  </r>
  <r>
    <x v="35"/>
    <n v="6.41"/>
    <n v="12.07"/>
    <n v="3.13"/>
    <n v="2.75"/>
    <n v="1.3"/>
  </r>
  <r>
    <x v="2"/>
    <n v="8.0500000000000007"/>
    <n v="13.64"/>
    <n v="1.48"/>
    <n v="1.88"/>
    <n v="1.28"/>
  </r>
  <r>
    <x v="4"/>
    <n v="4.0999999999999996"/>
    <n v="7.83"/>
    <n v="6.04"/>
    <n v="5.26"/>
    <n v="0.63"/>
  </r>
  <r>
    <x v="36"/>
    <n v="10.28"/>
    <n v="11.35"/>
    <n v="5.12"/>
    <n v="4.6399999999999997"/>
    <n v="1.5"/>
  </r>
  <r>
    <x v="37"/>
    <n v="5.83"/>
    <n v="14.28"/>
    <n v="2.21"/>
    <n v="1.36"/>
    <n v="2.95"/>
  </r>
  <r>
    <x v="38"/>
    <n v="10.19"/>
    <n v="10.93"/>
    <n v="3.33"/>
    <n v="4.37"/>
    <n v="0.56000000000000005"/>
  </r>
  <r>
    <x v="39"/>
    <n v="9.76"/>
    <n v="10.58"/>
    <n v="2.3199999999999998"/>
    <n v="2.7"/>
    <n v="2.3199999999999998"/>
  </r>
  <r>
    <x v="26"/>
    <n v="13.74"/>
    <n v="10.85"/>
    <n v="0.66"/>
    <n v="3.09"/>
    <n v="1.29"/>
  </r>
  <r>
    <x v="40"/>
    <n v="13.44"/>
    <n v="12.18"/>
    <n v="1.24"/>
    <n v="1.56"/>
    <n v="0.34"/>
  </r>
  <r>
    <x v="41"/>
    <n v="11.58"/>
    <n v="19.170000000000002"/>
    <n v="1.9"/>
    <n v="4.9000000000000004"/>
    <n v="1.06"/>
  </r>
  <r>
    <x v="42"/>
    <n v="9.69"/>
    <n v="6.55"/>
    <n v="4.18"/>
    <n v="2.76"/>
    <n v="1.1200000000000001"/>
  </r>
  <r>
    <x v="43"/>
    <n v="11.25"/>
    <n v="12.42"/>
    <n v="1.84"/>
    <n v="3.81"/>
    <n v="1.68"/>
  </r>
  <r>
    <x v="44"/>
    <n v="9.9700000000000006"/>
    <n v="17.22"/>
    <n v="3.07"/>
    <n v="4.55"/>
    <n v="1.31"/>
  </r>
  <r>
    <x v="45"/>
    <n v="5.86"/>
    <n v="8"/>
    <n v="6.45"/>
    <n v="2.59"/>
    <n v="1.04"/>
  </r>
  <r>
    <x v="46"/>
    <n v="8.8800000000000008"/>
    <n v="14.9"/>
    <n v="1.43"/>
    <n v="4.96"/>
    <n v="1.98"/>
  </r>
  <r>
    <x v="47"/>
    <n v="10.01"/>
    <n v="8.86"/>
    <n v="1.1499999999999999"/>
    <n v="1.89"/>
    <n v="1.1100000000000001"/>
  </r>
  <r>
    <x v="48"/>
    <n v="7.33"/>
    <n v="9.3800000000000008"/>
    <n v="1.06"/>
    <n v="1.5"/>
    <n v="2.4700000000000002"/>
  </r>
  <r>
    <x v="49"/>
    <n v="9.5299999999999994"/>
    <n v="6.45"/>
    <n v="2.94"/>
    <n v="3.33"/>
    <n v="1.0900000000000001"/>
  </r>
  <r>
    <x v="50"/>
    <n v="7.86"/>
    <n v="15"/>
    <n v="1.56"/>
    <n v="1.47"/>
    <n v="1.94"/>
  </r>
  <r>
    <x v="51"/>
    <n v="10.65"/>
    <n v="9.07"/>
    <n v="2.35"/>
    <n v="6.41"/>
    <n v="2.23"/>
  </r>
  <r>
    <x v="52"/>
    <n v="9.58"/>
    <n v="7.72"/>
    <n v="2.48"/>
    <n v="3.43"/>
    <n v="0.8"/>
  </r>
  <r>
    <x v="53"/>
    <n v="6.43"/>
    <n v="14.01"/>
    <n v="4.28"/>
    <n v="1.7"/>
    <n v="2.75"/>
  </r>
  <r>
    <x v="4"/>
    <n v="0"/>
    <n v="0"/>
    <n v="0"/>
    <n v="0"/>
    <n v="5.84"/>
  </r>
  <r>
    <x v="54"/>
    <n v="10.9"/>
    <n v="13.22"/>
    <n v="3.37"/>
    <n v="4.17"/>
    <n v="0.77"/>
  </r>
  <r>
    <x v="55"/>
    <n v="9.5399999999999991"/>
    <n v="10.09"/>
    <n v="0.62"/>
    <n v="2.0499999999999998"/>
    <n v="0"/>
  </r>
  <r>
    <x v="42"/>
    <n v="9.51"/>
    <n v="9.75"/>
    <n v="2.1"/>
    <n v="1.18"/>
    <n v="1.53"/>
  </r>
  <r>
    <x v="46"/>
    <n v="8.8800000000000008"/>
    <n v="14.9"/>
    <n v="1.43"/>
    <n v="4.96"/>
    <n v="5.87"/>
  </r>
  <r>
    <x v="56"/>
    <n v="10.02"/>
    <n v="14.57"/>
    <n v="1.96"/>
    <n v="2.71"/>
    <n v="2.2599999999999998"/>
  </r>
  <r>
    <x v="57"/>
    <n v="11.45"/>
    <n v="8.81"/>
    <n v="1.58"/>
    <n v="3.72"/>
    <n v="3.13"/>
  </r>
  <r>
    <x v="58"/>
    <n v="9.31"/>
    <n v="10.55"/>
    <n v="2.14"/>
    <n v="2.35"/>
    <n v="1.9"/>
  </r>
  <r>
    <x v="59"/>
    <n v="10.71"/>
    <n v="14.6"/>
    <n v="2.34"/>
    <n v="2.88"/>
    <n v="2.52"/>
  </r>
  <r>
    <x v="19"/>
    <n v="9.91"/>
    <n v="7.15"/>
    <n v="3.28"/>
    <n v="2.93"/>
    <n v="1.52"/>
  </r>
  <r>
    <x v="60"/>
    <n v="6.15"/>
    <n v="10.73"/>
    <n v="0.22"/>
    <n v="1.43"/>
    <n v="0"/>
  </r>
  <r>
    <x v="61"/>
    <n v="11.03"/>
    <n v="15.62"/>
    <n v="3.97"/>
    <n v="3.81"/>
    <n v="0.82"/>
  </r>
  <r>
    <x v="62"/>
    <n v="12.8"/>
    <n v="11.26"/>
    <n v="1.75"/>
    <n v="4.16"/>
    <n v="1.05"/>
  </r>
  <r>
    <x v="63"/>
    <n v="6.7"/>
    <n v="16.350000000000001"/>
    <n v="2.59"/>
    <n v="2.58"/>
    <n v="0.94"/>
  </r>
  <r>
    <x v="64"/>
    <n v="8"/>
    <n v="8.6999999999999993"/>
    <n v="3.87"/>
    <n v="1.75"/>
    <n v="0.64"/>
  </r>
  <r>
    <x v="65"/>
    <n v="11.27"/>
    <n v="12.24"/>
    <n v="5.23"/>
    <n v="4.03"/>
    <n v="1.1499999999999999"/>
  </r>
  <r>
    <x v="66"/>
    <n v="11.17"/>
    <n v="8.2200000000000006"/>
    <n v="2.42"/>
    <n v="3.14"/>
    <n v="1.61"/>
  </r>
  <r>
    <x v="67"/>
    <n v="10.87"/>
    <n v="11.15"/>
    <n v="2.4700000000000002"/>
    <n v="4.9400000000000004"/>
    <n v="1.8"/>
  </r>
  <r>
    <x v="68"/>
    <n v="9.49"/>
    <n v="9.35"/>
    <n v="3.37"/>
    <n v="3.45"/>
    <n v="0.53"/>
  </r>
  <r>
    <x v="69"/>
    <n v="9.83"/>
    <n v="12.29"/>
    <n v="5.09"/>
    <n v="1.61"/>
    <n v="2.77"/>
  </r>
  <r>
    <x v="70"/>
    <n v="9.84"/>
    <n v="12.49"/>
    <n v="1.63"/>
    <n v="3.2"/>
    <n v="1.08"/>
  </r>
  <r>
    <x v="32"/>
    <n v="11.16"/>
    <n v="13.94"/>
    <n v="1.5"/>
    <n v="5.17"/>
    <n v="0.95"/>
  </r>
  <r>
    <x v="71"/>
    <n v="12.03"/>
    <n v="12.4"/>
    <n v="1.21"/>
    <n v="4.3"/>
    <n v="2.12"/>
  </r>
  <r>
    <x v="4"/>
    <n v="9.34"/>
    <n v="13.37"/>
    <n v="3.56"/>
    <n v="2.86"/>
    <n v="5.28"/>
  </r>
  <r>
    <x v="72"/>
    <n v="6.11"/>
    <n v="11.37"/>
    <n v="1.2"/>
    <n v="2.67"/>
    <n v="0.89"/>
  </r>
  <r>
    <x v="73"/>
    <n v="9.44"/>
    <n v="13.39"/>
    <n v="3.26"/>
    <n v="2.5099999999999998"/>
    <n v="0.89"/>
  </r>
  <r>
    <x v="74"/>
    <n v="10.58"/>
    <n v="10.63"/>
    <n v="1.69"/>
    <n v="1.84"/>
    <n v="0.9"/>
  </r>
  <r>
    <x v="75"/>
    <n v="11.74"/>
    <n v="11.92"/>
    <n v="2.12"/>
    <n v="4.2"/>
    <n v="1.95"/>
  </r>
  <r>
    <x v="76"/>
    <n v="10.130000000000001"/>
    <n v="10.99"/>
    <n v="0.77"/>
    <n v="3.7"/>
    <n v="1.46"/>
  </r>
  <r>
    <x v="74"/>
    <n v="9.24"/>
    <n v="4.04"/>
    <n v="0.73"/>
    <n v="1.63"/>
    <n v="2.08"/>
  </r>
  <r>
    <x v="77"/>
    <n v="17.32"/>
    <n v="18.920000000000002"/>
    <n v="3.34"/>
    <n v="3.64"/>
    <n v="1.37"/>
  </r>
  <r>
    <x v="77"/>
    <n v="17.32"/>
    <n v="18.920000000000002"/>
    <n v="3.34"/>
    <n v="3.64"/>
    <n v="2.25"/>
  </r>
  <r>
    <x v="78"/>
    <n v="8.44"/>
    <n v="7.74"/>
    <n v="1.1000000000000001"/>
    <n v="2.2200000000000002"/>
    <n v="0.63"/>
  </r>
  <r>
    <x v="19"/>
    <n v="10.08"/>
    <n v="11.53"/>
    <n v="1.71"/>
    <n v="4.12"/>
    <n v="0.99"/>
  </r>
  <r>
    <x v="33"/>
    <n v="10.39"/>
    <n v="12.7"/>
    <n v="1.34"/>
    <n v="3.65"/>
    <n v="0.71"/>
  </r>
  <r>
    <x v="79"/>
    <n v="11.56"/>
    <n v="10.92"/>
    <n v="6.57"/>
    <n v="7.78"/>
    <n v="2.39"/>
  </r>
  <r>
    <x v="80"/>
    <n v="3.74"/>
    <n v="9.39"/>
    <n v="2.0299999999999998"/>
    <n v="0.95"/>
    <n v="1.42"/>
  </r>
  <r>
    <x v="81"/>
    <n v="9.2100000000000009"/>
    <n v="12.66"/>
    <n v="1.75"/>
    <n v="0.75"/>
    <n v="2.6"/>
  </r>
  <r>
    <x v="82"/>
    <n v="11.06"/>
    <n v="5.48"/>
    <n v="2.5099999999999998"/>
    <n v="2.2599999999999998"/>
    <n v="1"/>
  </r>
  <r>
    <x v="57"/>
    <n v="11.45"/>
    <n v="8.81"/>
    <n v="1.58"/>
    <n v="3.72"/>
    <n v="2.79"/>
  </r>
  <r>
    <x v="4"/>
    <n v="4.0999999999999996"/>
    <n v="7.83"/>
    <n v="6.04"/>
    <n v="5.26"/>
    <n v="1.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5B6DA-C23C-4FCA-ACCC-DEB431C1652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7" firstHeaderRow="1" firstDataRow="1" firstDataCol="1"/>
  <pivotFields count="1">
    <pivotField axis="axisRow" allDrilled="1" showAll="0" sortType="ascending" dataSourceSort="1" defaultAttributeDrillState="1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</pivotFields>
  <rowFields count="1">
    <field x="0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pivotHierarchies count="8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B$1:$G$10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21402-C7D9-4A0C-87A2-CA4F9C41446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7" firstHeaderRow="1" firstDataRow="1" firstDataCol="1"/>
  <pivotFields count="6">
    <pivotField axis="axisRow" showAll="0" sortType="ascending">
      <items count="84">
        <item x="4"/>
        <item x="2"/>
        <item x="82"/>
        <item x="53"/>
        <item x="81"/>
        <item x="50"/>
        <item x="46"/>
        <item x="12"/>
        <item x="30"/>
        <item x="60"/>
        <item x="9"/>
        <item x="15"/>
        <item x="34"/>
        <item x="8"/>
        <item x="48"/>
        <item x="56"/>
        <item x="17"/>
        <item x="79"/>
        <item x="64"/>
        <item x="77"/>
        <item x="42"/>
        <item x="45"/>
        <item x="44"/>
        <item x="78"/>
        <item x="24"/>
        <item x="52"/>
        <item x="70"/>
        <item x="11"/>
        <item x="47"/>
        <item x="0"/>
        <item x="38"/>
        <item x="6"/>
        <item x="37"/>
        <item x="13"/>
        <item x="40"/>
        <item x="68"/>
        <item x="43"/>
        <item x="75"/>
        <item x="74"/>
        <item x="26"/>
        <item x="80"/>
        <item x="49"/>
        <item x="67"/>
        <item x="72"/>
        <item x="33"/>
        <item x="25"/>
        <item x="5"/>
        <item x="14"/>
        <item x="39"/>
        <item x="41"/>
        <item x="28"/>
        <item x="71"/>
        <item x="54"/>
        <item x="55"/>
        <item x="29"/>
        <item x="10"/>
        <item x="22"/>
        <item x="19"/>
        <item x="58"/>
        <item x="3"/>
        <item x="23"/>
        <item x="16"/>
        <item x="66"/>
        <item x="59"/>
        <item x="65"/>
        <item x="20"/>
        <item x="73"/>
        <item x="62"/>
        <item x="32"/>
        <item x="51"/>
        <item x="35"/>
        <item x="61"/>
        <item x="21"/>
        <item x="31"/>
        <item x="18"/>
        <item x="76"/>
        <item x="7"/>
        <item x="57"/>
        <item x="27"/>
        <item x="63"/>
        <item x="36"/>
        <item x="1"/>
        <item x="69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B33B-3346-4020-8195-179FAF563192}">
  <dimension ref="A3:A87"/>
  <sheetViews>
    <sheetView view="pageLayout" zoomScaleNormal="100" workbookViewId="0">
      <selection activeCell="G9" sqref="G9"/>
    </sheetView>
  </sheetViews>
  <sheetFormatPr defaultRowHeight="14.5" x14ac:dyDescent="0.35"/>
  <cols>
    <col min="1" max="1" width="12.36328125" bestFit="1" customWidth="1"/>
  </cols>
  <sheetData>
    <row r="3" spans="1:1" x14ac:dyDescent="0.35">
      <c r="A3" s="7" t="s">
        <v>103</v>
      </c>
    </row>
    <row r="4" spans="1:1" x14ac:dyDescent="0.35">
      <c r="A4" s="8">
        <v>0</v>
      </c>
    </row>
    <row r="5" spans="1:1" x14ac:dyDescent="0.35">
      <c r="A5" s="8">
        <v>0.21</v>
      </c>
    </row>
    <row r="6" spans="1:1" x14ac:dyDescent="0.35">
      <c r="A6" s="8">
        <v>0.3</v>
      </c>
    </row>
    <row r="7" spans="1:1" x14ac:dyDescent="0.35">
      <c r="A7" s="8">
        <v>0.32</v>
      </c>
    </row>
    <row r="8" spans="1:1" x14ac:dyDescent="0.35">
      <c r="A8" s="8">
        <v>0.48</v>
      </c>
    </row>
    <row r="9" spans="1:1" x14ac:dyDescent="0.35">
      <c r="A9" s="8">
        <v>0.68</v>
      </c>
    </row>
    <row r="10" spans="1:1" x14ac:dyDescent="0.35">
      <c r="A10" s="8">
        <v>1.19</v>
      </c>
    </row>
    <row r="11" spans="1:1" x14ac:dyDescent="0.35">
      <c r="A11" s="8">
        <v>1.28</v>
      </c>
    </row>
    <row r="12" spans="1:1" x14ac:dyDescent="0.35">
      <c r="A12" s="8">
        <v>1.43</v>
      </c>
    </row>
    <row r="13" spans="1:1" x14ac:dyDescent="0.35">
      <c r="A13" s="8">
        <v>1.44</v>
      </c>
    </row>
    <row r="14" spans="1:1" x14ac:dyDescent="0.35">
      <c r="A14" s="8">
        <v>1.59</v>
      </c>
    </row>
    <row r="15" spans="1:1" x14ac:dyDescent="0.35">
      <c r="A15" s="8">
        <v>1.6</v>
      </c>
    </row>
    <row r="16" spans="1:1" x14ac:dyDescent="0.35">
      <c r="A16" s="8">
        <v>1.66</v>
      </c>
    </row>
    <row r="17" spans="1:1" x14ac:dyDescent="0.35">
      <c r="A17" s="8">
        <v>1.71</v>
      </c>
    </row>
    <row r="18" spans="1:1" x14ac:dyDescent="0.35">
      <c r="A18" s="8">
        <v>1.73</v>
      </c>
    </row>
    <row r="19" spans="1:1" x14ac:dyDescent="0.35">
      <c r="A19" s="8">
        <v>1.77</v>
      </c>
    </row>
    <row r="20" spans="1:1" x14ac:dyDescent="0.35">
      <c r="A20" s="8">
        <v>1.82</v>
      </c>
    </row>
    <row r="21" spans="1:1" x14ac:dyDescent="0.35">
      <c r="A21" s="8">
        <v>1.88</v>
      </c>
    </row>
    <row r="22" spans="1:1" x14ac:dyDescent="0.35">
      <c r="A22" s="8">
        <v>1.91</v>
      </c>
    </row>
    <row r="23" spans="1:1" x14ac:dyDescent="0.35">
      <c r="A23" s="8">
        <v>1.99</v>
      </c>
    </row>
    <row r="24" spans="1:1" x14ac:dyDescent="0.35">
      <c r="A24" s="8">
        <v>2.02</v>
      </c>
    </row>
    <row r="25" spans="1:1" x14ac:dyDescent="0.35">
      <c r="A25" s="8">
        <v>2.04</v>
      </c>
    </row>
    <row r="26" spans="1:1" x14ac:dyDescent="0.35">
      <c r="A26" s="8">
        <v>2.1</v>
      </c>
    </row>
    <row r="27" spans="1:1" x14ac:dyDescent="0.35">
      <c r="A27" s="8">
        <v>2.15</v>
      </c>
    </row>
    <row r="28" spans="1:1" x14ac:dyDescent="0.35">
      <c r="A28" s="8">
        <v>2.16</v>
      </c>
    </row>
    <row r="29" spans="1:1" x14ac:dyDescent="0.35">
      <c r="A29" s="8">
        <v>2.25</v>
      </c>
    </row>
    <row r="30" spans="1:1" x14ac:dyDescent="0.35">
      <c r="A30" s="8">
        <v>2.29</v>
      </c>
    </row>
    <row r="31" spans="1:1" x14ac:dyDescent="0.35">
      <c r="A31" s="8">
        <v>2.34</v>
      </c>
    </row>
    <row r="32" spans="1:1" x14ac:dyDescent="0.35">
      <c r="A32" s="8">
        <v>2.37</v>
      </c>
    </row>
    <row r="33" spans="1:1" x14ac:dyDescent="0.35">
      <c r="A33" s="8">
        <v>2.4700000000000002</v>
      </c>
    </row>
    <row r="34" spans="1:1" x14ac:dyDescent="0.35">
      <c r="A34" s="8">
        <v>2.5099999999999998</v>
      </c>
    </row>
    <row r="35" spans="1:1" x14ac:dyDescent="0.35">
      <c r="A35" s="8">
        <v>2.56</v>
      </c>
    </row>
    <row r="36" spans="1:1" x14ac:dyDescent="0.35">
      <c r="A36" s="8">
        <v>2.6</v>
      </c>
    </row>
    <row r="37" spans="1:1" x14ac:dyDescent="0.35">
      <c r="A37" s="8">
        <v>2.72</v>
      </c>
    </row>
    <row r="38" spans="1:1" x14ac:dyDescent="0.35">
      <c r="A38" s="8">
        <v>2.73</v>
      </c>
    </row>
    <row r="39" spans="1:1" x14ac:dyDescent="0.35">
      <c r="A39" s="8">
        <v>2.76</v>
      </c>
    </row>
    <row r="40" spans="1:1" x14ac:dyDescent="0.35">
      <c r="A40" s="8">
        <v>2.88</v>
      </c>
    </row>
    <row r="41" spans="1:1" x14ac:dyDescent="0.35">
      <c r="A41" s="8">
        <v>2.99</v>
      </c>
    </row>
    <row r="42" spans="1:1" x14ac:dyDescent="0.35">
      <c r="A42" s="8">
        <v>3.03</v>
      </c>
    </row>
    <row r="43" spans="1:1" x14ac:dyDescent="0.35">
      <c r="A43" s="8">
        <v>3.04</v>
      </c>
    </row>
    <row r="44" spans="1:1" x14ac:dyDescent="0.35">
      <c r="A44" s="8">
        <v>3.12</v>
      </c>
    </row>
    <row r="45" spans="1:1" x14ac:dyDescent="0.35">
      <c r="A45" s="8">
        <v>3.13</v>
      </c>
    </row>
    <row r="46" spans="1:1" x14ac:dyDescent="0.35">
      <c r="A46" s="8">
        <v>3.2</v>
      </c>
    </row>
    <row r="47" spans="1:1" x14ac:dyDescent="0.35">
      <c r="A47" s="8">
        <v>3.21</v>
      </c>
    </row>
    <row r="48" spans="1:1" x14ac:dyDescent="0.35">
      <c r="A48" s="8">
        <v>3.27</v>
      </c>
    </row>
    <row r="49" spans="1:1" x14ac:dyDescent="0.35">
      <c r="A49" s="8">
        <v>3.35</v>
      </c>
    </row>
    <row r="50" spans="1:1" x14ac:dyDescent="0.35">
      <c r="A50" s="8">
        <v>3.41</v>
      </c>
    </row>
    <row r="51" spans="1:1" x14ac:dyDescent="0.35">
      <c r="A51" s="8">
        <v>3.42</v>
      </c>
    </row>
    <row r="52" spans="1:1" x14ac:dyDescent="0.35">
      <c r="A52" s="8">
        <v>3.43</v>
      </c>
    </row>
    <row r="53" spans="1:1" x14ac:dyDescent="0.35">
      <c r="A53" s="8">
        <v>3.52</v>
      </c>
    </row>
    <row r="54" spans="1:1" x14ac:dyDescent="0.35">
      <c r="A54" s="8">
        <v>3.55</v>
      </c>
    </row>
    <row r="55" spans="1:1" x14ac:dyDescent="0.35">
      <c r="A55" s="8">
        <v>3.57</v>
      </c>
    </row>
    <row r="56" spans="1:1" x14ac:dyDescent="0.35">
      <c r="A56" s="8">
        <v>3.59</v>
      </c>
    </row>
    <row r="57" spans="1:1" x14ac:dyDescent="0.35">
      <c r="A57" s="8">
        <v>3.66</v>
      </c>
    </row>
    <row r="58" spans="1:1" x14ac:dyDescent="0.35">
      <c r="A58" s="8">
        <v>3.68</v>
      </c>
    </row>
    <row r="59" spans="1:1" x14ac:dyDescent="0.35">
      <c r="A59" s="8">
        <v>3.69</v>
      </c>
    </row>
    <row r="60" spans="1:1" x14ac:dyDescent="0.35">
      <c r="A60" s="8">
        <v>3.71</v>
      </c>
    </row>
    <row r="61" spans="1:1" x14ac:dyDescent="0.35">
      <c r="A61" s="8">
        <v>3.73</v>
      </c>
    </row>
    <row r="62" spans="1:1" x14ac:dyDescent="0.35">
      <c r="A62" s="8">
        <v>3.8</v>
      </c>
    </row>
    <row r="63" spans="1:1" x14ac:dyDescent="0.35">
      <c r="A63" s="8">
        <v>3.81</v>
      </c>
    </row>
    <row r="64" spans="1:1" x14ac:dyDescent="0.35">
      <c r="A64" s="8">
        <v>3.83</v>
      </c>
    </row>
    <row r="65" spans="1:1" x14ac:dyDescent="0.35">
      <c r="A65" s="8">
        <v>3.88</v>
      </c>
    </row>
    <row r="66" spans="1:1" x14ac:dyDescent="0.35">
      <c r="A66" s="8">
        <v>3.9</v>
      </c>
    </row>
    <row r="67" spans="1:1" x14ac:dyDescent="0.35">
      <c r="A67" s="8">
        <v>3.92</v>
      </c>
    </row>
    <row r="68" spans="1:1" x14ac:dyDescent="0.35">
      <c r="A68" s="8">
        <v>3.95</v>
      </c>
    </row>
    <row r="69" spans="1:1" x14ac:dyDescent="0.35">
      <c r="A69" s="8">
        <v>3.99</v>
      </c>
    </row>
    <row r="70" spans="1:1" x14ac:dyDescent="0.35">
      <c r="A70" s="8">
        <v>4.05</v>
      </c>
    </row>
    <row r="71" spans="1:1" x14ac:dyDescent="0.35">
      <c r="A71" s="8">
        <v>4.18</v>
      </c>
    </row>
    <row r="72" spans="1:1" x14ac:dyDescent="0.35">
      <c r="A72" s="8">
        <v>4.3</v>
      </c>
    </row>
    <row r="73" spans="1:1" x14ac:dyDescent="0.35">
      <c r="A73" s="8">
        <v>4.4000000000000004</v>
      </c>
    </row>
    <row r="74" spans="1:1" x14ac:dyDescent="0.35">
      <c r="A74" s="8">
        <v>4.5</v>
      </c>
    </row>
    <row r="75" spans="1:1" x14ac:dyDescent="0.35">
      <c r="A75" s="8">
        <v>4.5999999999999996</v>
      </c>
    </row>
    <row r="76" spans="1:1" x14ac:dyDescent="0.35">
      <c r="A76" s="8">
        <v>4.6399999999999997</v>
      </c>
    </row>
    <row r="77" spans="1:1" x14ac:dyDescent="0.35">
      <c r="A77" s="8">
        <v>4.6500000000000004</v>
      </c>
    </row>
    <row r="78" spans="1:1" x14ac:dyDescent="0.35">
      <c r="A78" s="8">
        <v>4.79</v>
      </c>
    </row>
    <row r="79" spans="1:1" x14ac:dyDescent="0.35">
      <c r="A79" s="8">
        <v>5.15</v>
      </c>
    </row>
    <row r="80" spans="1:1" x14ac:dyDescent="0.35">
      <c r="A80" s="8">
        <v>5.19</v>
      </c>
    </row>
    <row r="81" spans="1:1" x14ac:dyDescent="0.35">
      <c r="A81" s="8">
        <v>5.32</v>
      </c>
    </row>
    <row r="82" spans="1:1" x14ac:dyDescent="0.35">
      <c r="A82" s="8">
        <v>5.52</v>
      </c>
    </row>
    <row r="83" spans="1:1" x14ac:dyDescent="0.35">
      <c r="A83" s="8">
        <v>5.66</v>
      </c>
    </row>
    <row r="84" spans="1:1" x14ac:dyDescent="0.35">
      <c r="A84" s="8">
        <v>9.6300000000000008</v>
      </c>
    </row>
    <row r="85" spans="1:1" x14ac:dyDescent="0.35">
      <c r="A85" s="8">
        <v>10.58</v>
      </c>
    </row>
    <row r="86" spans="1:1" x14ac:dyDescent="0.35">
      <c r="A86" s="8">
        <v>17.100000000000001</v>
      </c>
    </row>
    <row r="87" spans="1:1" x14ac:dyDescent="0.35">
      <c r="A87" s="8" t="s">
        <v>104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2"/>
  <sheetViews>
    <sheetView tabSelected="1" topLeftCell="A78" zoomScale="70" workbookViewId="0">
      <selection sqref="A1:K104"/>
    </sheetView>
  </sheetViews>
  <sheetFormatPr defaultRowHeight="14.5" x14ac:dyDescent="0.35"/>
  <cols>
    <col min="1" max="1" width="20.08984375" bestFit="1" customWidth="1"/>
    <col min="2" max="4" width="5.453125" bestFit="1" customWidth="1"/>
    <col min="5" max="6" width="4.54296875" bestFit="1" customWidth="1"/>
    <col min="7" max="7" width="5.453125" bestFit="1" customWidth="1"/>
    <col min="8" max="8" width="10.6328125" bestFit="1" customWidth="1"/>
    <col min="9" max="9" width="9.90625" bestFit="1" customWidth="1"/>
    <col min="10" max="10" width="5.54296875" bestFit="1" customWidth="1"/>
    <col min="11" max="11" width="9.7265625" bestFit="1" customWidth="1"/>
  </cols>
  <sheetData>
    <row r="1" spans="1:12" x14ac:dyDescent="0.35">
      <c r="A1" s="10" t="s">
        <v>109</v>
      </c>
      <c r="B1" s="11">
        <v>2020</v>
      </c>
      <c r="C1" s="11">
        <v>2021</v>
      </c>
      <c r="D1" s="11">
        <v>2022</v>
      </c>
      <c r="E1" s="11">
        <v>2023</v>
      </c>
      <c r="F1" s="11">
        <v>2024</v>
      </c>
      <c r="G1" s="11">
        <v>2025</v>
      </c>
      <c r="H1" s="11" t="s">
        <v>106</v>
      </c>
      <c r="I1" s="11" t="s">
        <v>107</v>
      </c>
      <c r="J1" s="10" t="s">
        <v>105</v>
      </c>
      <c r="K1" s="12" t="s">
        <v>108</v>
      </c>
      <c r="L1" s="9"/>
    </row>
    <row r="2" spans="1:12" x14ac:dyDescent="0.35">
      <c r="A2" s="11" t="s">
        <v>10</v>
      </c>
      <c r="B2" s="13">
        <v>1.59</v>
      </c>
      <c r="C2" s="13">
        <v>8.3800000000000008</v>
      </c>
      <c r="D2" s="13">
        <v>33.08</v>
      </c>
      <c r="E2" s="13">
        <v>1.69</v>
      </c>
      <c r="F2" s="13">
        <v>1.64</v>
      </c>
      <c r="G2" s="13">
        <v>3.79</v>
      </c>
      <c r="H2" s="13">
        <v>30.86</v>
      </c>
      <c r="I2" s="13">
        <v>4.83</v>
      </c>
      <c r="J2" s="13">
        <f>(H2-I2)</f>
        <v>26.03</v>
      </c>
      <c r="K2" s="13">
        <f>ABS(J2)</f>
        <v>26.03</v>
      </c>
      <c r="L2" s="9"/>
    </row>
    <row r="3" spans="1:12" x14ac:dyDescent="0.35">
      <c r="A3" s="11" t="s">
        <v>39</v>
      </c>
      <c r="B3" s="13">
        <v>1.66</v>
      </c>
      <c r="C3" s="13">
        <v>8.27</v>
      </c>
      <c r="D3" s="13">
        <v>30.24</v>
      </c>
      <c r="E3" s="13">
        <v>1.1000000000000001</v>
      </c>
      <c r="F3" s="13">
        <v>1.35</v>
      </c>
      <c r="G3" s="13">
        <v>0.67</v>
      </c>
      <c r="H3" s="13">
        <v>25.99</v>
      </c>
      <c r="I3" s="13">
        <v>2.5</v>
      </c>
      <c r="J3" s="13">
        <f>(H3-I3)</f>
        <v>23.49</v>
      </c>
      <c r="K3" s="13">
        <f>ABS(J3)</f>
        <v>23.49</v>
      </c>
      <c r="L3" s="9"/>
    </row>
    <row r="4" spans="1:12" x14ac:dyDescent="0.35">
      <c r="A4" s="11" t="s">
        <v>72</v>
      </c>
      <c r="B4" s="13">
        <v>1.44</v>
      </c>
      <c r="C4" s="13">
        <v>6.15</v>
      </c>
      <c r="D4" s="13">
        <v>10.73</v>
      </c>
      <c r="E4" s="13">
        <v>0.22</v>
      </c>
      <c r="F4" s="13">
        <v>1.43</v>
      </c>
      <c r="G4" s="13">
        <v>0</v>
      </c>
      <c r="H4" s="13">
        <v>22.07</v>
      </c>
      <c r="I4" s="13">
        <v>0</v>
      </c>
      <c r="J4" s="13">
        <f>(H4-I4)</f>
        <v>22.07</v>
      </c>
      <c r="K4" s="13">
        <f>ABS(J4)</f>
        <v>22.07</v>
      </c>
      <c r="L4" s="9"/>
    </row>
    <row r="5" spans="1:12" x14ac:dyDescent="0.35">
      <c r="A5" s="11" t="s">
        <v>58</v>
      </c>
      <c r="B5" s="13">
        <v>0.68</v>
      </c>
      <c r="C5" s="13">
        <v>7.86</v>
      </c>
      <c r="D5" s="13">
        <v>15</v>
      </c>
      <c r="E5" s="13">
        <v>1.56</v>
      </c>
      <c r="F5" s="13">
        <v>1.47</v>
      </c>
      <c r="G5" s="13">
        <v>1.94</v>
      </c>
      <c r="H5" s="13">
        <v>20.59</v>
      </c>
      <c r="I5" s="13">
        <v>2.2799999999999998</v>
      </c>
      <c r="J5" s="13">
        <f>(H5-I5)</f>
        <v>18.309999999999999</v>
      </c>
      <c r="K5" s="13">
        <f>ABS(J5)</f>
        <v>18.309999999999999</v>
      </c>
      <c r="L5" s="9"/>
    </row>
    <row r="6" spans="1:12" x14ac:dyDescent="0.35">
      <c r="A6" s="11" t="s">
        <v>81</v>
      </c>
      <c r="B6" s="13">
        <v>17.100000000000001</v>
      </c>
      <c r="C6" s="13">
        <v>9.83</v>
      </c>
      <c r="D6" s="13">
        <v>12.29</v>
      </c>
      <c r="E6" s="13">
        <v>5.09</v>
      </c>
      <c r="F6" s="13">
        <v>1.61</v>
      </c>
      <c r="G6" s="13">
        <v>2.77</v>
      </c>
      <c r="H6" s="13">
        <v>21.1</v>
      </c>
      <c r="I6" s="13">
        <v>3.15</v>
      </c>
      <c r="J6" s="13">
        <f>(H6-I6)</f>
        <v>17.950000000000003</v>
      </c>
      <c r="K6" s="13">
        <f>ABS(J6)</f>
        <v>17.950000000000003</v>
      </c>
      <c r="L6" s="9"/>
    </row>
    <row r="7" spans="1:12" x14ac:dyDescent="0.35">
      <c r="A7" s="11" t="s">
        <v>54</v>
      </c>
      <c r="B7" s="13">
        <v>1.19</v>
      </c>
      <c r="C7" s="13">
        <v>8.8800000000000008</v>
      </c>
      <c r="D7" s="13">
        <v>14.9</v>
      </c>
      <c r="E7" s="13">
        <v>1.43</v>
      </c>
      <c r="F7" s="13">
        <v>4.96</v>
      </c>
      <c r="G7" s="13">
        <v>1.98</v>
      </c>
      <c r="H7" s="13">
        <v>21.38</v>
      </c>
      <c r="I7" s="13">
        <v>3.46</v>
      </c>
      <c r="J7" s="13">
        <f>(H7-I7)</f>
        <v>17.919999999999998</v>
      </c>
      <c r="K7" s="13">
        <f>ABS(J7)</f>
        <v>17.919999999999998</v>
      </c>
      <c r="L7" s="9"/>
    </row>
    <row r="8" spans="1:12" x14ac:dyDescent="0.35">
      <c r="A8" s="11" t="s">
        <v>66</v>
      </c>
      <c r="B8" s="13">
        <v>1.19</v>
      </c>
      <c r="C8" s="13">
        <v>8.8800000000000008</v>
      </c>
      <c r="D8" s="13">
        <v>14.9</v>
      </c>
      <c r="E8" s="13">
        <v>1.43</v>
      </c>
      <c r="F8" s="13">
        <v>4.96</v>
      </c>
      <c r="G8" s="13">
        <v>5.87</v>
      </c>
      <c r="H8" s="13">
        <v>21.38</v>
      </c>
      <c r="I8" s="13">
        <v>3.46</v>
      </c>
      <c r="J8" s="13">
        <f>(H8-I8)</f>
        <v>17.919999999999998</v>
      </c>
      <c r="K8" s="13">
        <f>ABS(J8)</f>
        <v>17.919999999999998</v>
      </c>
      <c r="L8" s="9"/>
    </row>
    <row r="9" spans="1:12" x14ac:dyDescent="0.35">
      <c r="A9" s="11" t="s">
        <v>36</v>
      </c>
      <c r="B9" s="13">
        <v>0</v>
      </c>
      <c r="C9" s="13">
        <v>11.89</v>
      </c>
      <c r="D9" s="13">
        <v>10.38</v>
      </c>
      <c r="E9" s="13">
        <v>2.67</v>
      </c>
      <c r="F9" s="13">
        <v>1.19</v>
      </c>
      <c r="G9" s="13">
        <v>0.87</v>
      </c>
      <c r="H9" s="13">
        <v>18.27</v>
      </c>
      <c r="I9" s="13">
        <v>0.87</v>
      </c>
      <c r="J9" s="13">
        <f>(H9-I9)</f>
        <v>17.399999999999999</v>
      </c>
      <c r="K9" s="13">
        <f>ABS(J9)</f>
        <v>17.399999999999999</v>
      </c>
      <c r="L9" s="9"/>
    </row>
    <row r="10" spans="1:12" x14ac:dyDescent="0.35">
      <c r="A10" s="11" t="s">
        <v>33</v>
      </c>
      <c r="B10" s="13">
        <v>1.43</v>
      </c>
      <c r="C10" s="13">
        <v>7.33</v>
      </c>
      <c r="D10" s="13">
        <v>18.190000000000001</v>
      </c>
      <c r="E10" s="13">
        <v>0.82</v>
      </c>
      <c r="F10" s="13">
        <v>0.9</v>
      </c>
      <c r="G10" s="13">
        <v>2.21</v>
      </c>
      <c r="H10" s="13">
        <v>19.52</v>
      </c>
      <c r="I10" s="13">
        <v>3.13</v>
      </c>
      <c r="J10" s="13">
        <f>(H10-I10)</f>
        <v>16.39</v>
      </c>
      <c r="K10" s="13">
        <f>ABS(J10)</f>
        <v>16.39</v>
      </c>
      <c r="L10" s="9"/>
    </row>
    <row r="11" spans="1:12" x14ac:dyDescent="0.35">
      <c r="A11" s="11" t="s">
        <v>98</v>
      </c>
      <c r="B11" s="13">
        <v>3.12</v>
      </c>
      <c r="C11" s="13">
        <v>3.74</v>
      </c>
      <c r="D11" s="13">
        <v>9.39</v>
      </c>
      <c r="E11" s="13">
        <v>2.0299999999999998</v>
      </c>
      <c r="F11" s="13">
        <v>0.95</v>
      </c>
      <c r="G11" s="13">
        <v>1.42</v>
      </c>
      <c r="H11" s="13">
        <v>18.14</v>
      </c>
      <c r="I11" s="13">
        <v>1.98</v>
      </c>
      <c r="J11" s="13">
        <f>(H11-I11)</f>
        <v>16.16</v>
      </c>
      <c r="K11" s="13">
        <f>ABS(J11)</f>
        <v>16.16</v>
      </c>
      <c r="L11" s="9"/>
    </row>
    <row r="12" spans="1:12" x14ac:dyDescent="0.35">
      <c r="A12" s="11" t="s">
        <v>28</v>
      </c>
      <c r="B12" s="13">
        <v>5.52</v>
      </c>
      <c r="C12" s="13">
        <v>13.75</v>
      </c>
      <c r="D12" s="13">
        <v>12.67</v>
      </c>
      <c r="E12" s="13">
        <v>4.0599999999999996</v>
      </c>
      <c r="F12" s="13">
        <v>2.99</v>
      </c>
      <c r="G12" s="13">
        <v>1.17</v>
      </c>
      <c r="H12" s="13">
        <v>19.39</v>
      </c>
      <c r="I12" s="13">
        <v>3.44</v>
      </c>
      <c r="J12" s="13">
        <f>(H12-I12)</f>
        <v>15.950000000000001</v>
      </c>
      <c r="K12" s="13">
        <f>ABS(J12)</f>
        <v>15.950000000000001</v>
      </c>
      <c r="L12" s="9"/>
    </row>
    <row r="13" spans="1:12" x14ac:dyDescent="0.35">
      <c r="A13" s="11" t="s">
        <v>56</v>
      </c>
      <c r="B13" s="13">
        <v>1.73</v>
      </c>
      <c r="C13" s="13">
        <v>7.33</v>
      </c>
      <c r="D13" s="13">
        <v>9.3800000000000008</v>
      </c>
      <c r="E13" s="13">
        <v>1.06</v>
      </c>
      <c r="F13" s="13">
        <v>1.5</v>
      </c>
      <c r="G13" s="13">
        <v>2.4700000000000002</v>
      </c>
      <c r="H13" s="13">
        <v>16.7</v>
      </c>
      <c r="I13" s="13">
        <v>1.69</v>
      </c>
      <c r="J13" s="13">
        <f>(H13-I13)</f>
        <v>15.01</v>
      </c>
      <c r="K13" s="13">
        <f>ABS(J13)</f>
        <v>15.01</v>
      </c>
      <c r="L13" s="9"/>
    </row>
    <row r="14" spans="1:12" x14ac:dyDescent="0.35">
      <c r="A14" s="11" t="s">
        <v>94</v>
      </c>
      <c r="B14" s="13">
        <v>2.15</v>
      </c>
      <c r="C14" s="13">
        <v>8.44</v>
      </c>
      <c r="D14" s="13">
        <v>7.74</v>
      </c>
      <c r="E14" s="13">
        <v>1.1000000000000001</v>
      </c>
      <c r="F14" s="13">
        <v>2.2200000000000002</v>
      </c>
      <c r="G14" s="13">
        <v>0.63</v>
      </c>
      <c r="H14" s="13">
        <v>16.66</v>
      </c>
      <c r="I14" s="13">
        <v>1.8</v>
      </c>
      <c r="J14" s="13">
        <f>(H14-I14)</f>
        <v>14.86</v>
      </c>
      <c r="K14" s="13">
        <f>ABS(J14)</f>
        <v>14.86</v>
      </c>
      <c r="L14" s="9"/>
    </row>
    <row r="15" spans="1:12" x14ac:dyDescent="0.35">
      <c r="A15" s="11" t="s">
        <v>65</v>
      </c>
      <c r="B15" s="13">
        <v>2.02</v>
      </c>
      <c r="C15" s="13">
        <v>9.51</v>
      </c>
      <c r="D15" s="13">
        <v>9.75</v>
      </c>
      <c r="E15" s="13">
        <v>2.1</v>
      </c>
      <c r="F15" s="13">
        <v>1.18</v>
      </c>
      <c r="G15" s="13">
        <v>1.53</v>
      </c>
      <c r="H15" s="13">
        <v>17.03</v>
      </c>
      <c r="I15" s="13">
        <v>2.4300000000000002</v>
      </c>
      <c r="J15" s="13">
        <f>(H15-I15)</f>
        <v>14.600000000000001</v>
      </c>
      <c r="K15" s="13">
        <f>ABS(J15)</f>
        <v>14.600000000000001</v>
      </c>
      <c r="L15" s="9"/>
    </row>
    <row r="16" spans="1:12" x14ac:dyDescent="0.35">
      <c r="A16" s="11" t="s">
        <v>76</v>
      </c>
      <c r="B16" s="13">
        <v>1.91</v>
      </c>
      <c r="C16" s="13">
        <v>8</v>
      </c>
      <c r="D16" s="13">
        <v>8.6999999999999993</v>
      </c>
      <c r="E16" s="13">
        <v>3.87</v>
      </c>
      <c r="F16" s="13">
        <v>1.75</v>
      </c>
      <c r="G16" s="13">
        <v>0.64</v>
      </c>
      <c r="H16" s="13">
        <v>16.02</v>
      </c>
      <c r="I16" s="13">
        <v>1.66</v>
      </c>
      <c r="J16" s="13">
        <f>(H16-I16)</f>
        <v>14.36</v>
      </c>
      <c r="K16" s="13">
        <f>ABS(J16)</f>
        <v>14.36</v>
      </c>
      <c r="L16" s="9"/>
    </row>
    <row r="17" spans="1:12" x14ac:dyDescent="0.35">
      <c r="A17" s="11" t="s">
        <v>99</v>
      </c>
      <c r="B17" s="13">
        <v>0.48</v>
      </c>
      <c r="C17" s="13">
        <v>9.2100000000000009</v>
      </c>
      <c r="D17" s="13">
        <v>12.66</v>
      </c>
      <c r="E17" s="13">
        <v>1.75</v>
      </c>
      <c r="F17" s="13">
        <v>0.75</v>
      </c>
      <c r="G17" s="13">
        <v>2.6</v>
      </c>
      <c r="H17" s="13">
        <v>17.690000000000001</v>
      </c>
      <c r="I17" s="13">
        <v>3.47</v>
      </c>
      <c r="J17" s="13">
        <f>(H17-I17)</f>
        <v>14.22</v>
      </c>
      <c r="K17" s="13">
        <f>ABS(J17)</f>
        <v>14.22</v>
      </c>
      <c r="L17" s="9"/>
    </row>
    <row r="18" spans="1:12" x14ac:dyDescent="0.35">
      <c r="A18" s="11" t="s">
        <v>50</v>
      </c>
      <c r="B18" s="13">
        <v>2.02</v>
      </c>
      <c r="C18" s="13">
        <v>9.69</v>
      </c>
      <c r="D18" s="13">
        <v>6.55</v>
      </c>
      <c r="E18" s="13">
        <v>4.18</v>
      </c>
      <c r="F18" s="13">
        <v>2.76</v>
      </c>
      <c r="G18" s="13">
        <v>1.1200000000000001</v>
      </c>
      <c r="H18" s="13">
        <v>17.079999999999998</v>
      </c>
      <c r="I18" s="13">
        <v>2.87</v>
      </c>
      <c r="J18" s="13">
        <f>(H18-I18)</f>
        <v>14.209999999999997</v>
      </c>
      <c r="K18" s="13">
        <f>ABS(J18)</f>
        <v>14.209999999999997</v>
      </c>
      <c r="L18" s="9"/>
    </row>
    <row r="19" spans="1:12" x14ac:dyDescent="0.35">
      <c r="A19" s="11" t="s">
        <v>75</v>
      </c>
      <c r="B19" s="13">
        <v>5.66</v>
      </c>
      <c r="C19" s="13">
        <v>6.7</v>
      </c>
      <c r="D19" s="13">
        <v>16.350000000000001</v>
      </c>
      <c r="E19" s="13">
        <v>2.59</v>
      </c>
      <c r="F19" s="13">
        <v>2.58</v>
      </c>
      <c r="G19" s="13">
        <v>0.94</v>
      </c>
      <c r="H19" s="13">
        <v>17.66</v>
      </c>
      <c r="I19" s="13">
        <v>3.56</v>
      </c>
      <c r="J19" s="13">
        <f>(H19-I19)</f>
        <v>14.1</v>
      </c>
      <c r="K19" s="13">
        <f>ABS(J19)</f>
        <v>14.1</v>
      </c>
      <c r="L19" s="9"/>
    </row>
    <row r="20" spans="1:12" x14ac:dyDescent="0.35">
      <c r="A20" s="11" t="s">
        <v>48</v>
      </c>
      <c r="B20" s="13">
        <v>2.73</v>
      </c>
      <c r="C20" s="13">
        <v>13.44</v>
      </c>
      <c r="D20" s="13">
        <v>12.18</v>
      </c>
      <c r="E20" s="13">
        <v>1.24</v>
      </c>
      <c r="F20" s="13">
        <v>1.56</v>
      </c>
      <c r="G20" s="13">
        <v>0.34</v>
      </c>
      <c r="H20" s="13">
        <v>17.48</v>
      </c>
      <c r="I20" s="13">
        <v>3.49</v>
      </c>
      <c r="J20" s="13">
        <f>(H20-I20)</f>
        <v>13.99</v>
      </c>
      <c r="K20" s="13">
        <f>ABS(J20)</f>
        <v>13.99</v>
      </c>
      <c r="L20" s="9"/>
    </row>
    <row r="21" spans="1:12" x14ac:dyDescent="0.35">
      <c r="A21" s="11" t="s">
        <v>85</v>
      </c>
      <c r="B21" s="13">
        <v>0</v>
      </c>
      <c r="C21" s="13">
        <v>9.34</v>
      </c>
      <c r="D21" s="13">
        <v>13.37</v>
      </c>
      <c r="E21" s="13">
        <v>3.56</v>
      </c>
      <c r="F21" s="13">
        <v>2.86</v>
      </c>
      <c r="G21" s="13">
        <v>5.28</v>
      </c>
      <c r="H21" s="13">
        <v>17.87</v>
      </c>
      <c r="I21" s="13">
        <v>4.13</v>
      </c>
      <c r="J21" s="13">
        <f>(H21-I21)</f>
        <v>13.740000000000002</v>
      </c>
      <c r="K21" s="13">
        <f>ABS(J21)</f>
        <v>13.740000000000002</v>
      </c>
      <c r="L21" s="9"/>
    </row>
    <row r="22" spans="1:12" x14ac:dyDescent="0.35">
      <c r="A22" s="11" t="s">
        <v>41</v>
      </c>
      <c r="B22" s="13">
        <v>0.21</v>
      </c>
      <c r="C22" s="13">
        <v>8.0500000000000007</v>
      </c>
      <c r="D22" s="13">
        <v>13.64</v>
      </c>
      <c r="E22" s="13">
        <v>1.48</v>
      </c>
      <c r="F22" s="13">
        <v>1.88</v>
      </c>
      <c r="G22" s="13">
        <v>1.28</v>
      </c>
      <c r="H22" s="13">
        <v>16.43</v>
      </c>
      <c r="I22" s="13">
        <v>2.79</v>
      </c>
      <c r="J22" s="13">
        <f>(H22-I22)</f>
        <v>13.64</v>
      </c>
      <c r="K22" s="13">
        <f>ABS(J22)</f>
        <v>13.64</v>
      </c>
      <c r="L22" s="9"/>
    </row>
    <row r="23" spans="1:12" x14ac:dyDescent="0.35">
      <c r="A23" s="11" t="s">
        <v>64</v>
      </c>
      <c r="B23" s="13">
        <v>3.66</v>
      </c>
      <c r="C23" s="13">
        <v>9.5399999999999991</v>
      </c>
      <c r="D23" s="13">
        <v>10.09</v>
      </c>
      <c r="E23" s="13">
        <v>0.62</v>
      </c>
      <c r="F23" s="13">
        <v>2.0499999999999998</v>
      </c>
      <c r="G23" s="13">
        <v>0</v>
      </c>
      <c r="H23" s="13">
        <v>15.34</v>
      </c>
      <c r="I23" s="13">
        <v>1.74</v>
      </c>
      <c r="J23" s="13">
        <f>(H23-I23)</f>
        <v>13.6</v>
      </c>
      <c r="K23" s="13">
        <f>ABS(J23)</f>
        <v>13.6</v>
      </c>
      <c r="L23" s="9"/>
    </row>
    <row r="24" spans="1:12" x14ac:dyDescent="0.35">
      <c r="A24" s="11" t="s">
        <v>61</v>
      </c>
      <c r="B24" s="13">
        <v>0.32</v>
      </c>
      <c r="C24" s="13">
        <v>6.43</v>
      </c>
      <c r="D24" s="13">
        <v>14.01</v>
      </c>
      <c r="E24" s="13">
        <v>4.28</v>
      </c>
      <c r="F24" s="13">
        <v>1.7</v>
      </c>
      <c r="G24" s="13">
        <v>2.75</v>
      </c>
      <c r="H24" s="13">
        <v>16.02</v>
      </c>
      <c r="I24" s="13">
        <v>2.64</v>
      </c>
      <c r="J24" s="13">
        <f>(H24-I24)</f>
        <v>13.379999999999999</v>
      </c>
      <c r="K24" s="13">
        <f>ABS(J24)</f>
        <v>13.379999999999999</v>
      </c>
      <c r="L24" s="9"/>
    </row>
    <row r="25" spans="1:12" x14ac:dyDescent="0.35">
      <c r="A25" s="11" t="s">
        <v>68</v>
      </c>
      <c r="B25" s="13">
        <v>5.32</v>
      </c>
      <c r="C25" s="13">
        <v>11.45</v>
      </c>
      <c r="D25" s="13">
        <v>8.81</v>
      </c>
      <c r="E25" s="13">
        <v>1.58</v>
      </c>
      <c r="F25" s="13">
        <v>3.72</v>
      </c>
      <c r="G25" s="13">
        <v>3.13</v>
      </c>
      <c r="H25" s="13">
        <v>17.22</v>
      </c>
      <c r="I25" s="13">
        <v>4.01</v>
      </c>
      <c r="J25" s="13">
        <f>(H25-I25)</f>
        <v>13.209999999999999</v>
      </c>
      <c r="K25" s="13">
        <f>ABS(J25)</f>
        <v>13.209999999999999</v>
      </c>
      <c r="L25" s="9"/>
    </row>
    <row r="26" spans="1:12" x14ac:dyDescent="0.35">
      <c r="A26" s="11" t="s">
        <v>101</v>
      </c>
      <c r="B26" s="13">
        <v>5.32</v>
      </c>
      <c r="C26" s="13">
        <v>11.45</v>
      </c>
      <c r="D26" s="13">
        <v>8.81</v>
      </c>
      <c r="E26" s="13">
        <v>1.58</v>
      </c>
      <c r="F26" s="13">
        <v>3.72</v>
      </c>
      <c r="G26" s="13">
        <v>2.79</v>
      </c>
      <c r="H26" s="13">
        <v>17.22</v>
      </c>
      <c r="I26" s="13">
        <v>4.01</v>
      </c>
      <c r="J26" s="13">
        <f>(H26-I26)</f>
        <v>13.209999999999999</v>
      </c>
      <c r="K26" s="13">
        <f>ABS(J26)</f>
        <v>13.209999999999999</v>
      </c>
      <c r="L26" s="9"/>
    </row>
    <row r="27" spans="1:12" x14ac:dyDescent="0.35">
      <c r="A27" s="11" t="s">
        <v>40</v>
      </c>
      <c r="B27" s="13">
        <v>4.5</v>
      </c>
      <c r="C27" s="13">
        <v>6.41</v>
      </c>
      <c r="D27" s="13">
        <v>12.07</v>
      </c>
      <c r="E27" s="13">
        <v>3.13</v>
      </c>
      <c r="F27" s="13">
        <v>2.75</v>
      </c>
      <c r="G27" s="13">
        <v>1.3</v>
      </c>
      <c r="H27" s="13">
        <v>16.02</v>
      </c>
      <c r="I27" s="13">
        <v>2.81</v>
      </c>
      <c r="J27" s="13">
        <f>(H27-I27)</f>
        <v>13.209999999999999</v>
      </c>
      <c r="K27" s="13">
        <f>ABS(J27)</f>
        <v>13.209999999999999</v>
      </c>
      <c r="L27" s="9"/>
    </row>
    <row r="28" spans="1:12" x14ac:dyDescent="0.35">
      <c r="A28" s="11" t="s">
        <v>52</v>
      </c>
      <c r="B28" s="13">
        <v>2.1</v>
      </c>
      <c r="C28" s="13">
        <v>9.9700000000000006</v>
      </c>
      <c r="D28" s="13">
        <v>17.22</v>
      </c>
      <c r="E28" s="13">
        <v>3.07</v>
      </c>
      <c r="F28" s="13">
        <v>4.55</v>
      </c>
      <c r="G28" s="13">
        <v>1.31</v>
      </c>
      <c r="H28" s="13">
        <v>17.440000000000001</v>
      </c>
      <c r="I28" s="13">
        <v>4.25</v>
      </c>
      <c r="J28" s="13">
        <f>(H28-I28)</f>
        <v>13.190000000000001</v>
      </c>
      <c r="K28" s="13">
        <f>ABS(J28)</f>
        <v>13.190000000000001</v>
      </c>
      <c r="L28" s="9"/>
    </row>
    <row r="29" spans="1:12" x14ac:dyDescent="0.35">
      <c r="A29" s="11" t="s">
        <v>55</v>
      </c>
      <c r="B29" s="13">
        <v>2.37</v>
      </c>
      <c r="C29" s="13">
        <v>10.01</v>
      </c>
      <c r="D29" s="13">
        <v>8.86</v>
      </c>
      <c r="E29" s="13">
        <v>1.1499999999999999</v>
      </c>
      <c r="F29" s="13">
        <v>1.89</v>
      </c>
      <c r="G29" s="13">
        <v>1.1100000000000001</v>
      </c>
      <c r="H29" s="13">
        <v>15.03</v>
      </c>
      <c r="I29" s="13">
        <v>1.84</v>
      </c>
      <c r="J29" s="13">
        <f>(H29-I29)</f>
        <v>13.19</v>
      </c>
      <c r="K29" s="13">
        <f>ABS(J29)</f>
        <v>13.19</v>
      </c>
      <c r="L29" s="9"/>
    </row>
    <row r="30" spans="1:12" x14ac:dyDescent="0.35">
      <c r="A30" s="11" t="s">
        <v>67</v>
      </c>
      <c r="B30" s="13">
        <v>1.77</v>
      </c>
      <c r="C30" s="13">
        <v>10.02</v>
      </c>
      <c r="D30" s="13">
        <v>14.57</v>
      </c>
      <c r="E30" s="13">
        <v>1.96</v>
      </c>
      <c r="F30" s="13">
        <v>2.71</v>
      </c>
      <c r="G30" s="13">
        <v>2.2599999999999998</v>
      </c>
      <c r="H30" s="13">
        <v>16.32</v>
      </c>
      <c r="I30" s="13">
        <v>3.22</v>
      </c>
      <c r="J30" s="13">
        <f>(H30-I30)</f>
        <v>13.1</v>
      </c>
      <c r="K30" s="13">
        <f>ABS(J30)</f>
        <v>13.1</v>
      </c>
      <c r="L30" s="9"/>
    </row>
    <row r="31" spans="1:12" x14ac:dyDescent="0.35">
      <c r="A31" s="11" t="s">
        <v>25</v>
      </c>
      <c r="B31" s="13">
        <v>2.16</v>
      </c>
      <c r="C31" s="13">
        <v>9.23</v>
      </c>
      <c r="D31" s="13">
        <v>4.83</v>
      </c>
      <c r="E31" s="13">
        <v>2.83</v>
      </c>
      <c r="F31" s="13">
        <v>1.62</v>
      </c>
      <c r="G31" s="13">
        <v>1.62</v>
      </c>
      <c r="H31" s="13">
        <v>16.95</v>
      </c>
      <c r="I31" s="13">
        <v>4.0599999999999996</v>
      </c>
      <c r="J31" s="13">
        <f>(H31-I31)</f>
        <v>12.89</v>
      </c>
      <c r="K31" s="13">
        <f>ABS(J31)</f>
        <v>12.89</v>
      </c>
      <c r="L31" s="9"/>
    </row>
    <row r="32" spans="1:12" x14ac:dyDescent="0.35">
      <c r="A32" s="11" t="s">
        <v>82</v>
      </c>
      <c r="B32" s="13">
        <v>2.29</v>
      </c>
      <c r="C32" s="13">
        <v>9.84</v>
      </c>
      <c r="D32" s="13">
        <v>12.49</v>
      </c>
      <c r="E32" s="13">
        <v>1.63</v>
      </c>
      <c r="F32" s="13">
        <v>3.2</v>
      </c>
      <c r="G32" s="13">
        <v>1.08</v>
      </c>
      <c r="H32" s="13">
        <v>16.57</v>
      </c>
      <c r="I32" s="13">
        <v>3.69</v>
      </c>
      <c r="J32" s="13">
        <f>(H32-I32)</f>
        <v>12.88</v>
      </c>
      <c r="K32" s="13">
        <f>ABS(J32)</f>
        <v>12.88</v>
      </c>
      <c r="L32" s="9"/>
    </row>
    <row r="33" spans="1:12" x14ac:dyDescent="0.35">
      <c r="A33" s="11" t="s">
        <v>19</v>
      </c>
      <c r="B33" s="13">
        <v>4.79</v>
      </c>
      <c r="C33" s="13">
        <v>10.130000000000001</v>
      </c>
      <c r="D33" s="13">
        <v>13.67</v>
      </c>
      <c r="E33" s="13">
        <v>7.45</v>
      </c>
      <c r="F33" s="13">
        <v>3.25</v>
      </c>
      <c r="G33" s="13">
        <v>2.06</v>
      </c>
      <c r="H33" s="13">
        <v>15.15</v>
      </c>
      <c r="I33" s="13">
        <v>2.33</v>
      </c>
      <c r="J33" s="13">
        <f>(H33-I33)</f>
        <v>12.82</v>
      </c>
      <c r="K33" s="13">
        <f>ABS(J33)</f>
        <v>12.82</v>
      </c>
      <c r="L33" s="9"/>
    </row>
    <row r="34" spans="1:12" x14ac:dyDescent="0.35">
      <c r="A34" s="11" t="s">
        <v>44</v>
      </c>
      <c r="B34" s="13">
        <v>2.6</v>
      </c>
      <c r="C34" s="13">
        <v>5.83</v>
      </c>
      <c r="D34" s="13">
        <v>14.28</v>
      </c>
      <c r="E34" s="13">
        <v>2.21</v>
      </c>
      <c r="F34" s="13">
        <v>1.36</v>
      </c>
      <c r="G34" s="13">
        <v>2.95</v>
      </c>
      <c r="H34" s="13">
        <v>14.87</v>
      </c>
      <c r="I34" s="13">
        <v>2.15</v>
      </c>
      <c r="J34" s="13">
        <f>(H34-I34)</f>
        <v>12.719999999999999</v>
      </c>
      <c r="K34" s="13">
        <f>ABS(J34)</f>
        <v>12.719999999999999</v>
      </c>
      <c r="L34" s="9"/>
    </row>
    <row r="35" spans="1:12" x14ac:dyDescent="0.35">
      <c r="A35" s="11" t="s">
        <v>32</v>
      </c>
      <c r="B35" s="13">
        <v>3.68</v>
      </c>
      <c r="C35" s="13">
        <v>10.08</v>
      </c>
      <c r="D35" s="13">
        <v>10.57</v>
      </c>
      <c r="E35" s="13">
        <v>0.55000000000000004</v>
      </c>
      <c r="F35" s="13">
        <v>3.6</v>
      </c>
      <c r="G35" s="13">
        <v>1.3</v>
      </c>
      <c r="H35" s="13">
        <v>16.809999999999999</v>
      </c>
      <c r="I35" s="13">
        <v>4.13</v>
      </c>
      <c r="J35" s="13">
        <f>(H35-I35)</f>
        <v>12.68</v>
      </c>
      <c r="K35" s="13">
        <f>ABS(J35)</f>
        <v>12.68</v>
      </c>
      <c r="L35" s="9"/>
    </row>
    <row r="36" spans="1:12" x14ac:dyDescent="0.35">
      <c r="A36" s="11" t="s">
        <v>0</v>
      </c>
      <c r="B36" s="13">
        <v>2.4700000000000002</v>
      </c>
      <c r="C36" s="13">
        <v>7.18</v>
      </c>
      <c r="D36" s="13">
        <v>11.63</v>
      </c>
      <c r="E36" s="13">
        <v>2.67</v>
      </c>
      <c r="F36" s="13">
        <v>2.04</v>
      </c>
      <c r="G36" s="13">
        <v>0.5</v>
      </c>
      <c r="H36" s="13">
        <v>16.48</v>
      </c>
      <c r="I36" s="13">
        <v>3.82</v>
      </c>
      <c r="J36" s="13">
        <f>(H36-I36)</f>
        <v>12.66</v>
      </c>
      <c r="K36" s="13">
        <f>ABS(J36)</f>
        <v>12.66</v>
      </c>
      <c r="L36" s="9"/>
    </row>
    <row r="37" spans="1:12" x14ac:dyDescent="0.35">
      <c r="A37" s="11" t="s">
        <v>78</v>
      </c>
      <c r="B37" s="13">
        <v>3.9</v>
      </c>
      <c r="C37" s="13">
        <v>11.17</v>
      </c>
      <c r="D37" s="13">
        <v>8.2200000000000006</v>
      </c>
      <c r="E37" s="13">
        <v>2.42</v>
      </c>
      <c r="F37" s="13">
        <v>3.14</v>
      </c>
      <c r="G37" s="13">
        <v>1.61</v>
      </c>
      <c r="H37" s="13">
        <v>15.51</v>
      </c>
      <c r="I37" s="13">
        <v>3.07</v>
      </c>
      <c r="J37" s="13">
        <f>(H37-I37)</f>
        <v>12.44</v>
      </c>
      <c r="K37" s="13">
        <f>ABS(J37)</f>
        <v>12.44</v>
      </c>
      <c r="L37" s="9"/>
    </row>
    <row r="38" spans="1:12" x14ac:dyDescent="0.35">
      <c r="A38" s="11" t="s">
        <v>100</v>
      </c>
      <c r="B38" s="13">
        <v>0.3</v>
      </c>
      <c r="C38" s="13">
        <v>11.06</v>
      </c>
      <c r="D38" s="13">
        <v>5.48</v>
      </c>
      <c r="E38" s="13">
        <v>2.5099999999999998</v>
      </c>
      <c r="F38" s="13">
        <v>2.2599999999999998</v>
      </c>
      <c r="G38" s="13">
        <v>1</v>
      </c>
      <c r="H38" s="13">
        <v>15.54</v>
      </c>
      <c r="I38" s="13">
        <v>3.17</v>
      </c>
      <c r="J38" s="13">
        <f>(H38-I38)</f>
        <v>12.37</v>
      </c>
      <c r="K38" s="13">
        <f>ABS(J38)</f>
        <v>12.37</v>
      </c>
      <c r="L38" s="9"/>
    </row>
    <row r="39" spans="1:12" x14ac:dyDescent="0.35">
      <c r="A39" s="11" t="s">
        <v>6</v>
      </c>
      <c r="B39" s="13">
        <v>3.41</v>
      </c>
      <c r="C39" s="13">
        <v>8.58</v>
      </c>
      <c r="D39" s="13">
        <v>6.57</v>
      </c>
      <c r="E39" s="13">
        <v>1.02</v>
      </c>
      <c r="F39" s="13">
        <v>1.49</v>
      </c>
      <c r="G39" s="13">
        <v>4.26</v>
      </c>
      <c r="H39" s="13">
        <v>16.649999999999999</v>
      </c>
      <c r="I39" s="13">
        <v>4.32</v>
      </c>
      <c r="J39" s="13">
        <f>(H39-I39)</f>
        <v>12.329999999999998</v>
      </c>
      <c r="K39" s="13">
        <f>ABS(J39)</f>
        <v>12.329999999999998</v>
      </c>
      <c r="L39" s="9"/>
    </row>
    <row r="40" spans="1:12" x14ac:dyDescent="0.35">
      <c r="A40" s="11" t="s">
        <v>89</v>
      </c>
      <c r="B40" s="13">
        <v>2.99</v>
      </c>
      <c r="C40" s="13">
        <v>11.74</v>
      </c>
      <c r="D40" s="13">
        <v>11.92</v>
      </c>
      <c r="E40" s="13">
        <v>2.12</v>
      </c>
      <c r="F40" s="13">
        <v>4.2</v>
      </c>
      <c r="G40" s="13">
        <v>1.95</v>
      </c>
      <c r="H40" s="13">
        <v>15.82</v>
      </c>
      <c r="I40" s="13">
        <v>3.58</v>
      </c>
      <c r="J40" s="13">
        <f>(H40-I40)</f>
        <v>12.24</v>
      </c>
      <c r="K40" s="13">
        <f>ABS(J40)</f>
        <v>12.24</v>
      </c>
      <c r="L40" s="9"/>
    </row>
    <row r="41" spans="1:12" x14ac:dyDescent="0.35">
      <c r="A41" s="11" t="s">
        <v>86</v>
      </c>
      <c r="B41" s="13">
        <v>3.21</v>
      </c>
      <c r="C41" s="13">
        <v>6.11</v>
      </c>
      <c r="D41" s="13">
        <v>11.37</v>
      </c>
      <c r="E41" s="13">
        <v>1.2</v>
      </c>
      <c r="F41" s="13">
        <v>2.67</v>
      </c>
      <c r="G41" s="13">
        <v>0.89</v>
      </c>
      <c r="H41" s="13">
        <v>14.81</v>
      </c>
      <c r="I41" s="13">
        <v>2.59</v>
      </c>
      <c r="J41" s="13">
        <f>(H41-I41)</f>
        <v>12.22</v>
      </c>
      <c r="K41" s="13">
        <f>ABS(J41)</f>
        <v>12.22</v>
      </c>
      <c r="L41" s="9"/>
    </row>
    <row r="42" spans="1:12" x14ac:dyDescent="0.35">
      <c r="A42" s="11" t="s">
        <v>73</v>
      </c>
      <c r="B42" s="13">
        <v>4.5999999999999996</v>
      </c>
      <c r="C42" s="13">
        <v>11.03</v>
      </c>
      <c r="D42" s="13">
        <v>15.62</v>
      </c>
      <c r="E42" s="13">
        <v>3.97</v>
      </c>
      <c r="F42" s="13">
        <v>3.81</v>
      </c>
      <c r="G42" s="13">
        <v>0.82</v>
      </c>
      <c r="H42" s="13">
        <v>15.87</v>
      </c>
      <c r="I42" s="13">
        <v>3.68</v>
      </c>
      <c r="J42" s="13">
        <f>(H42-I42)</f>
        <v>12.19</v>
      </c>
      <c r="K42" s="13">
        <f>ABS(J42)</f>
        <v>12.19</v>
      </c>
      <c r="L42" s="9"/>
    </row>
    <row r="43" spans="1:12" x14ac:dyDescent="0.35">
      <c r="A43" s="11" t="s">
        <v>14</v>
      </c>
      <c r="B43" s="13">
        <v>2.72</v>
      </c>
      <c r="C43" s="13">
        <v>9.3699999999999992</v>
      </c>
      <c r="D43" s="13">
        <v>7.59</v>
      </c>
      <c r="E43" s="13">
        <v>0.88</v>
      </c>
      <c r="F43" s="13">
        <v>0.36</v>
      </c>
      <c r="G43" s="13">
        <v>3.79</v>
      </c>
      <c r="H43" s="13">
        <v>14.61</v>
      </c>
      <c r="I43" s="13">
        <v>2.42</v>
      </c>
      <c r="J43" s="13">
        <f>(H43-I43)</f>
        <v>12.19</v>
      </c>
      <c r="K43" s="13">
        <f>ABS(J43)</f>
        <v>12.19</v>
      </c>
      <c r="L43" s="9"/>
    </row>
    <row r="44" spans="1:12" x14ac:dyDescent="0.35">
      <c r="A44" s="11" t="s">
        <v>18</v>
      </c>
      <c r="B44" s="13">
        <v>1.82</v>
      </c>
      <c r="C44" s="13">
        <v>10.49</v>
      </c>
      <c r="D44" s="13">
        <v>11.88</v>
      </c>
      <c r="E44" s="13">
        <v>2.91</v>
      </c>
      <c r="F44" s="13">
        <v>3.11</v>
      </c>
      <c r="G44" s="13">
        <v>1.7</v>
      </c>
      <c r="H44" s="13">
        <v>15.33</v>
      </c>
      <c r="I44" s="13">
        <v>3.18</v>
      </c>
      <c r="J44" s="13">
        <f>(H44-I44)</f>
        <v>12.15</v>
      </c>
      <c r="K44" s="13">
        <f>ABS(J44)</f>
        <v>12.15</v>
      </c>
      <c r="L44" s="9"/>
    </row>
    <row r="45" spans="1:12" x14ac:dyDescent="0.35">
      <c r="A45" s="11" t="s">
        <v>49</v>
      </c>
      <c r="B45" s="13">
        <v>3.52</v>
      </c>
      <c r="C45" s="13">
        <v>11.58</v>
      </c>
      <c r="D45" s="13">
        <v>19.170000000000002</v>
      </c>
      <c r="E45" s="13">
        <v>1.9</v>
      </c>
      <c r="F45" s="13">
        <v>4.9000000000000004</v>
      </c>
      <c r="G45" s="13">
        <v>1.06</v>
      </c>
      <c r="H45" s="13">
        <v>16.850000000000001</v>
      </c>
      <c r="I45" s="13">
        <v>4.74</v>
      </c>
      <c r="J45" s="13">
        <f>(H45-I45)</f>
        <v>12.110000000000001</v>
      </c>
      <c r="K45" s="13">
        <f>ABS(J45)</f>
        <v>12.110000000000001</v>
      </c>
      <c r="L45" s="9"/>
    </row>
    <row r="46" spans="1:12" x14ac:dyDescent="0.35">
      <c r="A46" s="11" t="s">
        <v>57</v>
      </c>
      <c r="B46" s="13">
        <v>3.13</v>
      </c>
      <c r="C46" s="13">
        <v>9.5299999999999994</v>
      </c>
      <c r="D46" s="13">
        <v>6.45</v>
      </c>
      <c r="E46" s="13">
        <v>2.94</v>
      </c>
      <c r="F46" s="13">
        <v>3.33</v>
      </c>
      <c r="G46" s="13">
        <v>1.0900000000000001</v>
      </c>
      <c r="H46" s="13">
        <v>15.41</v>
      </c>
      <c r="I46" s="13">
        <v>3.38</v>
      </c>
      <c r="J46" s="13">
        <f>(H46-I46)</f>
        <v>12.030000000000001</v>
      </c>
      <c r="K46" s="13">
        <f>ABS(J46)</f>
        <v>12.030000000000001</v>
      </c>
      <c r="L46" s="9"/>
    </row>
    <row r="47" spans="1:12" x14ac:dyDescent="0.35">
      <c r="A47" s="11" t="s">
        <v>88</v>
      </c>
      <c r="B47" s="13">
        <v>3.03</v>
      </c>
      <c r="C47" s="13">
        <v>10.58</v>
      </c>
      <c r="D47" s="13">
        <v>10.63</v>
      </c>
      <c r="E47" s="13">
        <v>1.69</v>
      </c>
      <c r="F47" s="13">
        <v>1.84</v>
      </c>
      <c r="G47" s="13">
        <v>0.9</v>
      </c>
      <c r="H47" s="13">
        <v>16.649999999999999</v>
      </c>
      <c r="I47" s="13">
        <v>4.71</v>
      </c>
      <c r="J47" s="13">
        <f>(H47-I47)</f>
        <v>11.939999999999998</v>
      </c>
      <c r="K47" s="13">
        <f>ABS(J47)</f>
        <v>11.939999999999998</v>
      </c>
      <c r="L47" s="9"/>
    </row>
    <row r="48" spans="1:12" x14ac:dyDescent="0.35">
      <c r="A48" s="11" t="s">
        <v>8</v>
      </c>
      <c r="B48" s="13">
        <v>5.19</v>
      </c>
      <c r="C48" s="13">
        <v>10.98</v>
      </c>
      <c r="D48" s="13">
        <v>12.81</v>
      </c>
      <c r="E48" s="13">
        <v>0.89</v>
      </c>
      <c r="F48" s="13">
        <v>1.78</v>
      </c>
      <c r="G48" s="13">
        <v>1.57</v>
      </c>
      <c r="H48" s="13">
        <v>15.97</v>
      </c>
      <c r="I48" s="13">
        <v>4.16</v>
      </c>
      <c r="J48" s="13">
        <f>(H48-I48)</f>
        <v>11.81</v>
      </c>
      <c r="K48" s="13">
        <f>ABS(J48)</f>
        <v>11.81</v>
      </c>
      <c r="L48" s="9"/>
    </row>
    <row r="49" spans="1:12" x14ac:dyDescent="0.35">
      <c r="A49" s="11" t="s">
        <v>80</v>
      </c>
      <c r="B49" s="13">
        <v>2.76</v>
      </c>
      <c r="C49" s="13">
        <v>9.49</v>
      </c>
      <c r="D49" s="13">
        <v>9.35</v>
      </c>
      <c r="E49" s="13">
        <v>3.37</v>
      </c>
      <c r="F49" s="13">
        <v>3.45</v>
      </c>
      <c r="G49" s="13">
        <v>0.53</v>
      </c>
      <c r="H49" s="13">
        <v>14.66</v>
      </c>
      <c r="I49" s="13">
        <v>2.99</v>
      </c>
      <c r="J49" s="13">
        <f>(H49-I49)</f>
        <v>11.67</v>
      </c>
      <c r="K49" s="13">
        <f>ABS(J49)</f>
        <v>11.67</v>
      </c>
      <c r="L49" s="9"/>
    </row>
    <row r="50" spans="1:12" x14ac:dyDescent="0.35">
      <c r="A50" s="11" t="s">
        <v>60</v>
      </c>
      <c r="B50" s="13">
        <v>2.25</v>
      </c>
      <c r="C50" s="13">
        <v>9.58</v>
      </c>
      <c r="D50" s="13">
        <v>7.72</v>
      </c>
      <c r="E50" s="13">
        <v>2.48</v>
      </c>
      <c r="F50" s="13">
        <v>3.43</v>
      </c>
      <c r="G50" s="13">
        <v>0.8</v>
      </c>
      <c r="H50" s="13">
        <v>15.52</v>
      </c>
      <c r="I50" s="13">
        <v>3.85</v>
      </c>
      <c r="J50" s="13">
        <f>(H50-I50)</f>
        <v>11.67</v>
      </c>
      <c r="K50" s="13">
        <f>ABS(J50)</f>
        <v>11.67</v>
      </c>
      <c r="L50" s="9"/>
    </row>
    <row r="51" spans="1:12" x14ac:dyDescent="0.35">
      <c r="A51" s="11" t="s">
        <v>47</v>
      </c>
      <c r="B51" s="13">
        <v>3.04</v>
      </c>
      <c r="C51" s="13">
        <v>13.74</v>
      </c>
      <c r="D51" s="13">
        <v>10.85</v>
      </c>
      <c r="E51" s="13">
        <v>0.66</v>
      </c>
      <c r="F51" s="13">
        <v>3.09</v>
      </c>
      <c r="G51" s="13">
        <v>1.29</v>
      </c>
      <c r="H51" s="13">
        <v>15.99</v>
      </c>
      <c r="I51" s="13">
        <v>4.42</v>
      </c>
      <c r="J51" s="13">
        <f>(H51-I51)</f>
        <v>11.57</v>
      </c>
      <c r="K51" s="13">
        <f>ABS(J51)</f>
        <v>11.57</v>
      </c>
      <c r="L51" s="9"/>
    </row>
    <row r="52" spans="1:12" x14ac:dyDescent="0.35">
      <c r="A52" s="11" t="s">
        <v>13</v>
      </c>
      <c r="B52" s="13">
        <v>1.28</v>
      </c>
      <c r="C52" s="13">
        <v>6.81</v>
      </c>
      <c r="D52" s="13">
        <v>13.96</v>
      </c>
      <c r="E52" s="13">
        <v>3.42</v>
      </c>
      <c r="F52" s="13">
        <v>3.9</v>
      </c>
      <c r="G52" s="13">
        <v>1.02</v>
      </c>
      <c r="H52" s="13">
        <v>16.600000000000001</v>
      </c>
      <c r="I52" s="13">
        <v>5.04</v>
      </c>
      <c r="J52" s="13">
        <f>(H52-I52)</f>
        <v>11.560000000000002</v>
      </c>
      <c r="K52" s="13">
        <f>ABS(J52)</f>
        <v>11.560000000000002</v>
      </c>
      <c r="L52" s="9"/>
    </row>
    <row r="53" spans="1:12" x14ac:dyDescent="0.35">
      <c r="A53" s="11" t="s">
        <v>90</v>
      </c>
      <c r="B53" s="13">
        <v>5.15</v>
      </c>
      <c r="C53" s="13">
        <v>10.130000000000001</v>
      </c>
      <c r="D53" s="13">
        <v>10.99</v>
      </c>
      <c r="E53" s="13">
        <v>0.77</v>
      </c>
      <c r="F53" s="13">
        <v>3.7</v>
      </c>
      <c r="G53" s="13">
        <v>1.46</v>
      </c>
      <c r="H53" s="13">
        <v>13.84</v>
      </c>
      <c r="I53" s="13">
        <v>2.36</v>
      </c>
      <c r="J53" s="13">
        <f>(H53-I53)</f>
        <v>11.48</v>
      </c>
      <c r="K53" s="13">
        <f>ABS(J53)</f>
        <v>11.48</v>
      </c>
      <c r="L53" s="9"/>
    </row>
    <row r="54" spans="1:12" x14ac:dyDescent="0.35">
      <c r="A54" s="11" t="s">
        <v>17</v>
      </c>
      <c r="B54" s="13">
        <v>3.88</v>
      </c>
      <c r="C54" s="13">
        <v>12.08</v>
      </c>
      <c r="D54" s="13">
        <v>13.42</v>
      </c>
      <c r="E54" s="13">
        <v>3.33</v>
      </c>
      <c r="F54" s="13">
        <v>4.42</v>
      </c>
      <c r="G54" s="13">
        <v>2.5299999999999998</v>
      </c>
      <c r="H54" s="13">
        <v>15.67</v>
      </c>
      <c r="I54" s="13">
        <v>4.1900000000000004</v>
      </c>
      <c r="J54" s="13">
        <f>(H54-I54)</f>
        <v>11.48</v>
      </c>
      <c r="K54" s="13">
        <f>ABS(J54)</f>
        <v>11.48</v>
      </c>
      <c r="L54" s="9"/>
    </row>
    <row r="55" spans="1:12" x14ac:dyDescent="0.35">
      <c r="A55" s="11" t="s">
        <v>74</v>
      </c>
      <c r="B55" s="13">
        <v>4.18</v>
      </c>
      <c r="C55" s="13">
        <v>12.8</v>
      </c>
      <c r="D55" s="13">
        <v>11.26</v>
      </c>
      <c r="E55" s="13">
        <v>1.75</v>
      </c>
      <c r="F55" s="13">
        <v>4.16</v>
      </c>
      <c r="G55" s="13">
        <v>1.05</v>
      </c>
      <c r="H55" s="13">
        <v>15.72</v>
      </c>
      <c r="I55" s="13">
        <v>4.25</v>
      </c>
      <c r="J55" s="13">
        <f>(H55-I55)</f>
        <v>11.47</v>
      </c>
      <c r="K55" s="13">
        <f>ABS(J55)</f>
        <v>11.47</v>
      </c>
      <c r="L55" s="9"/>
    </row>
    <row r="56" spans="1:12" x14ac:dyDescent="0.35">
      <c r="A56" s="11" t="s">
        <v>12</v>
      </c>
      <c r="B56" s="13">
        <v>2.34</v>
      </c>
      <c r="C56" s="13">
        <v>10.6</v>
      </c>
      <c r="D56" s="13">
        <v>14.47</v>
      </c>
      <c r="E56" s="13">
        <v>4.3600000000000003</v>
      </c>
      <c r="F56" s="13">
        <v>3.08</v>
      </c>
      <c r="G56" s="13">
        <v>1.0900000000000001</v>
      </c>
      <c r="H56" s="13">
        <v>15.98</v>
      </c>
      <c r="I56" s="13">
        <v>4.54</v>
      </c>
      <c r="J56" s="13">
        <f>(H56-I56)</f>
        <v>11.440000000000001</v>
      </c>
      <c r="K56" s="13">
        <f>ABS(J56)</f>
        <v>11.440000000000001</v>
      </c>
      <c r="L56" s="9"/>
    </row>
    <row r="57" spans="1:12" x14ac:dyDescent="0.35">
      <c r="A57" s="11" t="s">
        <v>95</v>
      </c>
      <c r="B57" s="13">
        <v>3.73</v>
      </c>
      <c r="C57" s="13">
        <v>10.08</v>
      </c>
      <c r="D57" s="13">
        <v>11.53</v>
      </c>
      <c r="E57" s="13">
        <v>1.71</v>
      </c>
      <c r="F57" s="13">
        <v>4.12</v>
      </c>
      <c r="G57" s="13">
        <v>0.99</v>
      </c>
      <c r="H57" s="13">
        <v>15.9</v>
      </c>
      <c r="I57" s="13">
        <v>4.49</v>
      </c>
      <c r="J57" s="13">
        <f>(H57-I57)</f>
        <v>11.41</v>
      </c>
      <c r="K57" s="13">
        <f>ABS(J57)</f>
        <v>11.41</v>
      </c>
      <c r="L57" s="9"/>
    </row>
    <row r="58" spans="1:12" x14ac:dyDescent="0.35">
      <c r="A58" s="11" t="s">
        <v>70</v>
      </c>
      <c r="B58" s="13">
        <v>3.92</v>
      </c>
      <c r="C58" s="13">
        <v>10.71</v>
      </c>
      <c r="D58" s="13">
        <v>14.6</v>
      </c>
      <c r="E58" s="13">
        <v>2.34</v>
      </c>
      <c r="F58" s="13">
        <v>2.88</v>
      </c>
      <c r="G58" s="13">
        <v>2.52</v>
      </c>
      <c r="H58" s="13">
        <v>15.41</v>
      </c>
      <c r="I58" s="13">
        <v>4.01</v>
      </c>
      <c r="J58" s="13">
        <f>(H58-I58)</f>
        <v>11.4</v>
      </c>
      <c r="K58" s="13">
        <f>ABS(J58)</f>
        <v>11.4</v>
      </c>
      <c r="L58" s="9"/>
    </row>
    <row r="59" spans="1:12" x14ac:dyDescent="0.35">
      <c r="A59" s="11" t="s">
        <v>20</v>
      </c>
      <c r="B59" s="13">
        <v>3.73</v>
      </c>
      <c r="C59" s="13">
        <v>10.18</v>
      </c>
      <c r="D59" s="13">
        <v>11.73</v>
      </c>
      <c r="E59" s="13">
        <v>1.37</v>
      </c>
      <c r="F59" s="13">
        <v>4.09</v>
      </c>
      <c r="G59" s="13">
        <v>0.54</v>
      </c>
      <c r="H59" s="13">
        <v>16.64</v>
      </c>
      <c r="I59" s="13">
        <v>5.3</v>
      </c>
      <c r="J59" s="13">
        <f>(H59-I59)</f>
        <v>11.34</v>
      </c>
      <c r="K59" s="13">
        <f>ABS(J59)</f>
        <v>11.34</v>
      </c>
      <c r="L59" s="9"/>
    </row>
    <row r="60" spans="1:12" x14ac:dyDescent="0.35">
      <c r="A60" s="11" t="s">
        <v>1</v>
      </c>
      <c r="B60" s="13">
        <v>10.58</v>
      </c>
      <c r="C60" s="13">
        <v>8.08</v>
      </c>
      <c r="D60" s="13">
        <v>1.86</v>
      </c>
      <c r="E60" s="13">
        <v>3.55</v>
      </c>
      <c r="F60" s="13">
        <v>0.56999999999999995</v>
      </c>
      <c r="G60" s="13">
        <v>2.44</v>
      </c>
      <c r="H60" s="13">
        <v>11.29</v>
      </c>
      <c r="I60" s="13">
        <v>0</v>
      </c>
      <c r="J60" s="13">
        <f>(H60-I60)</f>
        <v>11.29</v>
      </c>
      <c r="K60" s="13">
        <f>ABS(J60)</f>
        <v>11.29</v>
      </c>
      <c r="L60" s="9"/>
    </row>
    <row r="61" spans="1:12" x14ac:dyDescent="0.35">
      <c r="A61" s="11" t="s">
        <v>2</v>
      </c>
      <c r="B61" s="13">
        <v>10.58</v>
      </c>
      <c r="C61" s="13">
        <v>8.08</v>
      </c>
      <c r="D61" s="13">
        <v>1.86</v>
      </c>
      <c r="E61" s="13">
        <v>3.55</v>
      </c>
      <c r="F61" s="13">
        <v>0.56999999999999995</v>
      </c>
      <c r="G61" s="13">
        <v>0</v>
      </c>
      <c r="H61" s="13">
        <v>11.29</v>
      </c>
      <c r="I61" s="13">
        <v>0</v>
      </c>
      <c r="J61" s="13">
        <f>(H61-I61)</f>
        <v>11.29</v>
      </c>
      <c r="K61" s="13">
        <f>ABS(J61)</f>
        <v>11.29</v>
      </c>
      <c r="L61" s="9"/>
    </row>
    <row r="62" spans="1:12" x14ac:dyDescent="0.35">
      <c r="A62" s="11" t="s">
        <v>22</v>
      </c>
      <c r="B62" s="13">
        <v>4.6399999999999997</v>
      </c>
      <c r="C62" s="13">
        <v>9.9600000000000009</v>
      </c>
      <c r="D62" s="13">
        <v>9.94</v>
      </c>
      <c r="E62" s="13">
        <v>3.08</v>
      </c>
      <c r="F62" s="13">
        <v>3.62</v>
      </c>
      <c r="G62" s="13">
        <v>1.67</v>
      </c>
      <c r="H62" s="13">
        <v>14.62</v>
      </c>
      <c r="I62" s="13">
        <v>3.38</v>
      </c>
      <c r="J62" s="13">
        <f>(H62-I62)</f>
        <v>11.239999999999998</v>
      </c>
      <c r="K62" s="13">
        <f>ABS(J62)</f>
        <v>11.239999999999998</v>
      </c>
      <c r="L62" s="9"/>
    </row>
    <row r="63" spans="1:12" x14ac:dyDescent="0.35">
      <c r="A63" s="11" t="s">
        <v>69</v>
      </c>
      <c r="B63" s="13">
        <v>3.8</v>
      </c>
      <c r="C63" s="13">
        <v>9.31</v>
      </c>
      <c r="D63" s="13">
        <v>10.55</v>
      </c>
      <c r="E63" s="13">
        <v>2.14</v>
      </c>
      <c r="F63" s="13">
        <v>2.35</v>
      </c>
      <c r="G63" s="13">
        <v>1.9</v>
      </c>
      <c r="H63" s="13">
        <v>14.29</v>
      </c>
      <c r="I63" s="13">
        <v>3.08</v>
      </c>
      <c r="J63" s="13">
        <f>(H63-I63)</f>
        <v>11.209999999999999</v>
      </c>
      <c r="K63" s="13">
        <f>ABS(J63)</f>
        <v>11.209999999999999</v>
      </c>
      <c r="L63" s="9"/>
    </row>
    <row r="64" spans="1:12" x14ac:dyDescent="0.35">
      <c r="A64" s="11" t="s">
        <v>51</v>
      </c>
      <c r="B64" s="13">
        <v>2.88</v>
      </c>
      <c r="C64" s="13">
        <v>11.25</v>
      </c>
      <c r="D64" s="13">
        <v>12.42</v>
      </c>
      <c r="E64" s="13">
        <v>1.84</v>
      </c>
      <c r="F64" s="13">
        <v>3.81</v>
      </c>
      <c r="G64" s="13">
        <v>1.68</v>
      </c>
      <c r="H64" s="13">
        <v>17.46</v>
      </c>
      <c r="I64" s="13">
        <v>6.33</v>
      </c>
      <c r="J64" s="13">
        <f>(H64-I64)</f>
        <v>11.13</v>
      </c>
      <c r="K64" s="13">
        <f>ABS(J64)</f>
        <v>11.13</v>
      </c>
      <c r="L64" s="9"/>
    </row>
    <row r="65" spans="1:12" x14ac:dyDescent="0.35">
      <c r="A65" s="11" t="s">
        <v>92</v>
      </c>
      <c r="B65" s="13">
        <v>1.99</v>
      </c>
      <c r="C65" s="13">
        <v>17.32</v>
      </c>
      <c r="D65" s="13">
        <v>18.920000000000002</v>
      </c>
      <c r="E65" s="13">
        <v>3.34</v>
      </c>
      <c r="F65" s="13">
        <v>3.64</v>
      </c>
      <c r="G65" s="13">
        <v>1.37</v>
      </c>
      <c r="H65" s="13">
        <v>16.829999999999998</v>
      </c>
      <c r="I65" s="13">
        <v>5.75</v>
      </c>
      <c r="J65" s="13">
        <f>(H65-I65)</f>
        <v>11.079999999999998</v>
      </c>
      <c r="K65" s="13">
        <f>ABS(J65)</f>
        <v>11.079999999999998</v>
      </c>
      <c r="L65" s="9"/>
    </row>
    <row r="66" spans="1:12" x14ac:dyDescent="0.35">
      <c r="A66" s="11" t="s">
        <v>93</v>
      </c>
      <c r="B66" s="13">
        <v>1.99</v>
      </c>
      <c r="C66" s="13">
        <v>17.32</v>
      </c>
      <c r="D66" s="13">
        <v>18.920000000000002</v>
      </c>
      <c r="E66" s="13">
        <v>3.34</v>
      </c>
      <c r="F66" s="13">
        <v>3.64</v>
      </c>
      <c r="G66" s="13">
        <v>2.25</v>
      </c>
      <c r="H66" s="13">
        <v>16.829999999999998</v>
      </c>
      <c r="I66" s="13">
        <v>5.75</v>
      </c>
      <c r="J66" s="13">
        <f>(H66-I66)</f>
        <v>11.079999999999998</v>
      </c>
      <c r="K66" s="13">
        <f>ABS(J66)</f>
        <v>11.079999999999998</v>
      </c>
      <c r="L66" s="9"/>
    </row>
    <row r="67" spans="1:12" x14ac:dyDescent="0.35">
      <c r="A67" s="11" t="s">
        <v>84</v>
      </c>
      <c r="B67" s="13">
        <v>3.57</v>
      </c>
      <c r="C67" s="13">
        <v>12.03</v>
      </c>
      <c r="D67" s="13">
        <v>12.4</v>
      </c>
      <c r="E67" s="13">
        <v>1.21</v>
      </c>
      <c r="F67" s="13">
        <v>4.3</v>
      </c>
      <c r="G67" s="13">
        <v>2.12</v>
      </c>
      <c r="H67" s="13">
        <v>16.98</v>
      </c>
      <c r="I67" s="13">
        <v>6.02</v>
      </c>
      <c r="J67" s="13">
        <f>(H67-I67)</f>
        <v>10.96</v>
      </c>
      <c r="K67" s="13">
        <f>ABS(J67)</f>
        <v>10.96</v>
      </c>
      <c r="L67" s="9"/>
    </row>
    <row r="68" spans="1:12" x14ac:dyDescent="0.35">
      <c r="A68" s="11" t="s">
        <v>77</v>
      </c>
      <c r="B68" s="13">
        <v>3.95</v>
      </c>
      <c r="C68" s="13">
        <v>11.27</v>
      </c>
      <c r="D68" s="13">
        <v>12.24</v>
      </c>
      <c r="E68" s="13">
        <v>5.23</v>
      </c>
      <c r="F68" s="13">
        <v>4.03</v>
      </c>
      <c r="G68" s="13">
        <v>1.1499999999999999</v>
      </c>
      <c r="H68" s="13">
        <v>15.77</v>
      </c>
      <c r="I68" s="13">
        <v>4.8600000000000003</v>
      </c>
      <c r="J68" s="13">
        <f>(H68-I68)</f>
        <v>10.91</v>
      </c>
      <c r="K68" s="13">
        <f>ABS(J68)</f>
        <v>10.91</v>
      </c>
      <c r="L68" s="9"/>
    </row>
    <row r="69" spans="1:12" x14ac:dyDescent="0.35">
      <c r="A69" s="11" t="s">
        <v>38</v>
      </c>
      <c r="B69" s="13">
        <v>3.27</v>
      </c>
      <c r="C69" s="13">
        <v>10.39</v>
      </c>
      <c r="D69" s="13">
        <v>12.7</v>
      </c>
      <c r="E69" s="13">
        <v>1.34</v>
      </c>
      <c r="F69" s="13">
        <v>3.65</v>
      </c>
      <c r="G69" s="13">
        <v>0.6</v>
      </c>
      <c r="H69" s="13">
        <v>15.55</v>
      </c>
      <c r="I69" s="13">
        <v>4.6500000000000004</v>
      </c>
      <c r="J69" s="13">
        <f>(H69-I69)</f>
        <v>10.9</v>
      </c>
      <c r="K69" s="13">
        <f>ABS(J69)</f>
        <v>10.9</v>
      </c>
      <c r="L69" s="9"/>
    </row>
    <row r="70" spans="1:12" x14ac:dyDescent="0.35">
      <c r="A70" s="11" t="s">
        <v>96</v>
      </c>
      <c r="B70" s="13">
        <v>3.27</v>
      </c>
      <c r="C70" s="13">
        <v>10.39</v>
      </c>
      <c r="D70" s="13">
        <v>12.7</v>
      </c>
      <c r="E70" s="13">
        <v>1.34</v>
      </c>
      <c r="F70" s="13">
        <v>3.65</v>
      </c>
      <c r="G70" s="13">
        <v>0.71</v>
      </c>
      <c r="H70" s="13">
        <v>15.55</v>
      </c>
      <c r="I70" s="13">
        <v>4.6500000000000004</v>
      </c>
      <c r="J70" s="13">
        <f>(H70-I70)</f>
        <v>10.9</v>
      </c>
      <c r="K70" s="13">
        <f>ABS(J70)</f>
        <v>10.9</v>
      </c>
      <c r="L70" s="9"/>
    </row>
    <row r="71" spans="1:12" x14ac:dyDescent="0.35">
      <c r="A71" s="11" t="s">
        <v>7</v>
      </c>
      <c r="B71" s="13">
        <v>2.56</v>
      </c>
      <c r="C71" s="13">
        <v>11.1</v>
      </c>
      <c r="D71" s="13">
        <v>10.36</v>
      </c>
      <c r="E71" s="13">
        <v>2.41</v>
      </c>
      <c r="F71" s="13">
        <v>4.76</v>
      </c>
      <c r="G71" s="13">
        <v>1.05</v>
      </c>
      <c r="H71" s="13">
        <v>15.34</v>
      </c>
      <c r="I71" s="13">
        <v>4.45</v>
      </c>
      <c r="J71" s="13">
        <f>(H71-I71)</f>
        <v>10.89</v>
      </c>
      <c r="K71" s="13">
        <f>ABS(J71)</f>
        <v>10.89</v>
      </c>
      <c r="L71" s="9"/>
    </row>
    <row r="72" spans="1:12" x14ac:dyDescent="0.35">
      <c r="A72" s="11" t="s">
        <v>71</v>
      </c>
      <c r="B72" s="13">
        <v>3.73</v>
      </c>
      <c r="C72" s="13">
        <v>9.91</v>
      </c>
      <c r="D72" s="13">
        <v>7.15</v>
      </c>
      <c r="E72" s="13">
        <v>3.28</v>
      </c>
      <c r="F72" s="13">
        <v>2.93</v>
      </c>
      <c r="G72" s="13">
        <v>1.52</v>
      </c>
      <c r="H72" s="13">
        <v>14.28</v>
      </c>
      <c r="I72" s="13">
        <v>3.47</v>
      </c>
      <c r="J72" s="13">
        <f>(H72-I72)</f>
        <v>10.809999999999999</v>
      </c>
      <c r="K72" s="13">
        <f>ABS(J72)</f>
        <v>10.809999999999999</v>
      </c>
      <c r="L72" s="9"/>
    </row>
    <row r="73" spans="1:12" x14ac:dyDescent="0.35">
      <c r="A73" s="11" t="s">
        <v>30</v>
      </c>
      <c r="B73" s="13">
        <v>0</v>
      </c>
      <c r="C73" s="13">
        <v>8.17</v>
      </c>
      <c r="D73" s="13">
        <v>6.85</v>
      </c>
      <c r="E73" s="13">
        <v>3.69</v>
      </c>
      <c r="F73" s="13">
        <v>2.74</v>
      </c>
      <c r="G73" s="13">
        <v>0.44</v>
      </c>
      <c r="H73" s="13">
        <v>14.98</v>
      </c>
      <c r="I73" s="13">
        <v>4.32</v>
      </c>
      <c r="J73" s="13">
        <f>(H73-I73)</f>
        <v>10.66</v>
      </c>
      <c r="K73" s="13">
        <f>ABS(J73)</f>
        <v>10.66</v>
      </c>
      <c r="L73" s="9"/>
    </row>
    <row r="74" spans="1:12" x14ac:dyDescent="0.35">
      <c r="A74" s="11" t="s">
        <v>16</v>
      </c>
      <c r="B74" s="13">
        <v>1.6</v>
      </c>
      <c r="C74" s="13">
        <v>9.0399999999999991</v>
      </c>
      <c r="D74" s="13">
        <v>11.4</v>
      </c>
      <c r="E74" s="13">
        <v>2.74</v>
      </c>
      <c r="F74" s="13">
        <v>1.99</v>
      </c>
      <c r="G74" s="13">
        <v>2.15</v>
      </c>
      <c r="H74" s="13">
        <v>14.9</v>
      </c>
      <c r="I74" s="13">
        <v>4.25</v>
      </c>
      <c r="J74" s="13">
        <f>(H74-I74)</f>
        <v>10.65</v>
      </c>
      <c r="K74" s="13">
        <f>ABS(J74)</f>
        <v>10.65</v>
      </c>
      <c r="L74" s="9"/>
    </row>
    <row r="75" spans="1:12" x14ac:dyDescent="0.35">
      <c r="A75" s="11" t="s">
        <v>91</v>
      </c>
      <c r="B75" s="13">
        <v>3.03</v>
      </c>
      <c r="C75" s="13">
        <v>9.24</v>
      </c>
      <c r="D75" s="13">
        <v>4.04</v>
      </c>
      <c r="E75" s="13">
        <v>0.73</v>
      </c>
      <c r="F75" s="13">
        <v>1.63</v>
      </c>
      <c r="G75" s="13">
        <v>2.08</v>
      </c>
      <c r="H75" s="13">
        <v>14.1</v>
      </c>
      <c r="I75" s="13">
        <v>3.52</v>
      </c>
      <c r="J75" s="13">
        <f>(H75-I75)</f>
        <v>10.58</v>
      </c>
      <c r="K75" s="13">
        <f>ABS(J75)</f>
        <v>10.58</v>
      </c>
      <c r="L75" s="9"/>
    </row>
    <row r="76" spans="1:12" x14ac:dyDescent="0.35">
      <c r="A76" s="11" t="s">
        <v>4</v>
      </c>
      <c r="B76" s="13">
        <v>3.81</v>
      </c>
      <c r="C76" s="13">
        <v>10.58</v>
      </c>
      <c r="D76" s="13">
        <v>11.9</v>
      </c>
      <c r="E76" s="13">
        <v>0.81</v>
      </c>
      <c r="F76" s="13">
        <v>3.19</v>
      </c>
      <c r="G76" s="13">
        <v>0.62</v>
      </c>
      <c r="H76" s="13">
        <v>14.9</v>
      </c>
      <c r="I76" s="13">
        <v>4.33</v>
      </c>
      <c r="J76" s="13">
        <f>(H76-I76)</f>
        <v>10.57</v>
      </c>
      <c r="K76" s="13">
        <f>ABS(J76)</f>
        <v>10.57</v>
      </c>
      <c r="L76" s="9"/>
    </row>
    <row r="77" spans="1:12" x14ac:dyDescent="0.35">
      <c r="A77" s="11" t="s">
        <v>37</v>
      </c>
      <c r="B77" s="13">
        <v>4.3</v>
      </c>
      <c r="C77" s="13">
        <v>11.47</v>
      </c>
      <c r="D77" s="13">
        <v>11.48</v>
      </c>
      <c r="E77" s="13">
        <v>2.16</v>
      </c>
      <c r="F77" s="13">
        <v>4.3899999999999997</v>
      </c>
      <c r="G77" s="13">
        <v>1.3</v>
      </c>
      <c r="H77" s="13">
        <v>15.98</v>
      </c>
      <c r="I77" s="13">
        <v>5.42</v>
      </c>
      <c r="J77" s="13">
        <f>(H77-I77)</f>
        <v>10.56</v>
      </c>
      <c r="K77" s="13">
        <f>ABS(J77)</f>
        <v>10.56</v>
      </c>
      <c r="L77" s="9"/>
    </row>
    <row r="78" spans="1:12" x14ac:dyDescent="0.35">
      <c r="A78" s="11" t="s">
        <v>31</v>
      </c>
      <c r="B78" s="13">
        <v>3.55</v>
      </c>
      <c r="C78" s="13">
        <v>10.08</v>
      </c>
      <c r="D78" s="13">
        <v>8.3699999999999992</v>
      </c>
      <c r="E78" s="13">
        <v>2.39</v>
      </c>
      <c r="F78" s="13">
        <v>3.23</v>
      </c>
      <c r="G78" s="13">
        <v>0.76</v>
      </c>
      <c r="H78" s="13">
        <v>14.32</v>
      </c>
      <c r="I78" s="13">
        <v>3.77</v>
      </c>
      <c r="J78" s="13">
        <f>(H78-I78)</f>
        <v>10.55</v>
      </c>
      <c r="K78" s="13">
        <f>ABS(J78)</f>
        <v>10.55</v>
      </c>
      <c r="L78" s="9"/>
    </row>
    <row r="79" spans="1:12" x14ac:dyDescent="0.35">
      <c r="A79" s="11" t="s">
        <v>9</v>
      </c>
      <c r="B79" s="13">
        <v>1.71</v>
      </c>
      <c r="C79" s="13">
        <v>12.48</v>
      </c>
      <c r="D79" s="13">
        <v>17.04</v>
      </c>
      <c r="E79" s="13">
        <v>2.38</v>
      </c>
      <c r="F79" s="13">
        <v>6.28</v>
      </c>
      <c r="G79" s="13">
        <v>0.62</v>
      </c>
      <c r="H79" s="13">
        <v>16.41</v>
      </c>
      <c r="I79" s="13">
        <v>5.87</v>
      </c>
      <c r="J79" s="13">
        <f>(H79-I79)</f>
        <v>10.54</v>
      </c>
      <c r="K79" s="13">
        <f>ABS(J79)</f>
        <v>10.54</v>
      </c>
      <c r="L79" s="9"/>
    </row>
    <row r="80" spans="1:12" x14ac:dyDescent="0.35">
      <c r="A80" s="11" t="s">
        <v>11</v>
      </c>
      <c r="B80" s="13">
        <v>3.69</v>
      </c>
      <c r="C80" s="13">
        <v>9.85</v>
      </c>
      <c r="D80" s="13">
        <v>9.7799999999999994</v>
      </c>
      <c r="E80" s="13">
        <v>3.67</v>
      </c>
      <c r="F80" s="13">
        <v>4.05</v>
      </c>
      <c r="G80" s="13">
        <v>0.93</v>
      </c>
      <c r="H80" s="13">
        <v>16.29</v>
      </c>
      <c r="I80" s="13">
        <v>5.78</v>
      </c>
      <c r="J80" s="13">
        <f>(H80-I80)</f>
        <v>10.509999999999998</v>
      </c>
      <c r="K80" s="13">
        <f>ABS(J80)</f>
        <v>10.509999999999998</v>
      </c>
      <c r="L80" s="9"/>
    </row>
    <row r="81" spans="1:12" x14ac:dyDescent="0.35">
      <c r="A81" s="11" t="s">
        <v>21</v>
      </c>
      <c r="B81" s="13">
        <v>3.99</v>
      </c>
      <c r="C81" s="13">
        <v>10.51</v>
      </c>
      <c r="D81" s="13">
        <v>12.36</v>
      </c>
      <c r="E81" s="13">
        <v>2.58</v>
      </c>
      <c r="F81" s="13">
        <v>4.03</v>
      </c>
      <c r="G81" s="13">
        <v>1.22</v>
      </c>
      <c r="H81" s="13">
        <v>15.51</v>
      </c>
      <c r="I81" s="13">
        <v>5.04</v>
      </c>
      <c r="J81" s="13">
        <f>(H81-I81)</f>
        <v>10.469999999999999</v>
      </c>
      <c r="K81" s="13">
        <f>ABS(J81)</f>
        <v>10.469999999999999</v>
      </c>
      <c r="L81" s="9"/>
    </row>
    <row r="82" spans="1:12" x14ac:dyDescent="0.35">
      <c r="A82" s="11" t="s">
        <v>23</v>
      </c>
      <c r="B82" s="13">
        <v>3.71</v>
      </c>
      <c r="C82" s="13">
        <v>10.36</v>
      </c>
      <c r="D82" s="13">
        <v>12.5</v>
      </c>
      <c r="E82" s="13">
        <v>0.46</v>
      </c>
      <c r="F82" s="13">
        <v>2.08</v>
      </c>
      <c r="G82" s="13">
        <v>1.59</v>
      </c>
      <c r="H82" s="13">
        <v>14.53</v>
      </c>
      <c r="I82" s="13">
        <v>4.0599999999999996</v>
      </c>
      <c r="J82" s="13">
        <f>(H82-I82)</f>
        <v>10.469999999999999</v>
      </c>
      <c r="K82" s="13">
        <f>ABS(J82)</f>
        <v>10.469999999999999</v>
      </c>
      <c r="L82" s="9"/>
    </row>
    <row r="83" spans="1:12" x14ac:dyDescent="0.35">
      <c r="A83" s="11" t="s">
        <v>35</v>
      </c>
      <c r="B83" s="13">
        <v>4.6500000000000004</v>
      </c>
      <c r="C83" s="13">
        <v>11.09</v>
      </c>
      <c r="D83" s="13">
        <v>12.11</v>
      </c>
      <c r="E83" s="13">
        <v>2.78</v>
      </c>
      <c r="F83" s="13">
        <v>4.5199999999999996</v>
      </c>
      <c r="G83" s="13">
        <v>1.69</v>
      </c>
      <c r="H83" s="13">
        <v>15.28</v>
      </c>
      <c r="I83" s="13">
        <v>5.03</v>
      </c>
      <c r="J83" s="13">
        <f>(H83-I83)</f>
        <v>10.25</v>
      </c>
      <c r="K83" s="13">
        <f>ABS(J83)</f>
        <v>10.25</v>
      </c>
      <c r="L83" s="9"/>
    </row>
    <row r="84" spans="1:12" x14ac:dyDescent="0.35">
      <c r="A84" s="11" t="s">
        <v>83</v>
      </c>
      <c r="B84" s="13">
        <v>4.3</v>
      </c>
      <c r="C84" s="13">
        <v>11.16</v>
      </c>
      <c r="D84" s="13">
        <v>13.94</v>
      </c>
      <c r="E84" s="13">
        <v>1.5</v>
      </c>
      <c r="F84" s="13">
        <v>5.17</v>
      </c>
      <c r="G84" s="13">
        <v>0.95</v>
      </c>
      <c r="H84" s="13">
        <v>15.9</v>
      </c>
      <c r="I84" s="13">
        <v>5.68</v>
      </c>
      <c r="J84" s="13">
        <f>(H84-I84)</f>
        <v>10.220000000000001</v>
      </c>
      <c r="K84" s="13">
        <f>ABS(J84)</f>
        <v>10.220000000000001</v>
      </c>
      <c r="L84" s="9"/>
    </row>
    <row r="85" spans="1:12" x14ac:dyDescent="0.35">
      <c r="A85" s="11" t="s">
        <v>15</v>
      </c>
      <c r="B85" s="13">
        <v>3.42</v>
      </c>
      <c r="C85" s="13">
        <v>10.35</v>
      </c>
      <c r="D85" s="13">
        <v>11.04</v>
      </c>
      <c r="E85" s="13">
        <v>0.64</v>
      </c>
      <c r="F85" s="13">
        <v>3.24</v>
      </c>
      <c r="G85" s="13">
        <v>1.05</v>
      </c>
      <c r="H85" s="13">
        <v>15.34</v>
      </c>
      <c r="I85" s="13">
        <v>5.12</v>
      </c>
      <c r="J85" s="13">
        <f>(H85-I85)</f>
        <v>10.219999999999999</v>
      </c>
      <c r="K85" s="13">
        <f>ABS(J85)</f>
        <v>10.219999999999999</v>
      </c>
      <c r="L85" s="9"/>
    </row>
    <row r="86" spans="1:12" x14ac:dyDescent="0.35">
      <c r="A86" s="11" t="s">
        <v>24</v>
      </c>
      <c r="B86" s="13">
        <v>3.83</v>
      </c>
      <c r="C86" s="13">
        <v>10.17</v>
      </c>
      <c r="D86" s="13">
        <v>11.82</v>
      </c>
      <c r="E86" s="13">
        <v>0.77</v>
      </c>
      <c r="F86" s="13">
        <v>3.35</v>
      </c>
      <c r="G86" s="13">
        <v>1.59</v>
      </c>
      <c r="H86" s="13">
        <v>14.77</v>
      </c>
      <c r="I86" s="13">
        <v>4.6100000000000003</v>
      </c>
      <c r="J86" s="13">
        <f>(H86-I86)</f>
        <v>10.16</v>
      </c>
      <c r="K86" s="13">
        <f>ABS(J86)</f>
        <v>10.16</v>
      </c>
      <c r="L86" s="9"/>
    </row>
    <row r="87" spans="1:12" x14ac:dyDescent="0.35">
      <c r="A87" s="11" t="s">
        <v>63</v>
      </c>
      <c r="B87" s="13">
        <v>3.59</v>
      </c>
      <c r="C87" s="13">
        <v>10.9</v>
      </c>
      <c r="D87" s="13">
        <v>13.22</v>
      </c>
      <c r="E87" s="13">
        <v>3.37</v>
      </c>
      <c r="F87" s="13">
        <v>4.17</v>
      </c>
      <c r="G87" s="13">
        <v>0.77</v>
      </c>
      <c r="H87" s="13">
        <v>14.11</v>
      </c>
      <c r="I87" s="13">
        <v>4.41</v>
      </c>
      <c r="J87" s="13">
        <f>(H87-I87)</f>
        <v>9.6999999999999993</v>
      </c>
      <c r="K87" s="13">
        <f>ABS(J87)</f>
        <v>9.6999999999999993</v>
      </c>
      <c r="L87" s="9"/>
    </row>
    <row r="88" spans="1:12" x14ac:dyDescent="0.35">
      <c r="A88" s="11" t="s">
        <v>27</v>
      </c>
      <c r="B88" s="13">
        <v>3.04</v>
      </c>
      <c r="C88" s="13">
        <v>9.81</v>
      </c>
      <c r="D88" s="13">
        <v>9.6999999999999993</v>
      </c>
      <c r="E88" s="13">
        <v>1</v>
      </c>
      <c r="F88" s="13">
        <v>2.21</v>
      </c>
      <c r="G88" s="13">
        <v>2.21</v>
      </c>
      <c r="H88" s="13">
        <v>14.59</v>
      </c>
      <c r="I88" s="13">
        <v>4.91</v>
      </c>
      <c r="J88" s="13">
        <f>(H88-I88)</f>
        <v>9.68</v>
      </c>
      <c r="K88" s="13">
        <f>ABS(J88)</f>
        <v>9.68</v>
      </c>
      <c r="L88" s="9"/>
    </row>
    <row r="89" spans="1:12" x14ac:dyDescent="0.35">
      <c r="A89" s="11" t="s">
        <v>87</v>
      </c>
      <c r="B89" s="13">
        <v>4.05</v>
      </c>
      <c r="C89" s="13">
        <v>9.44</v>
      </c>
      <c r="D89" s="13">
        <v>13.39</v>
      </c>
      <c r="E89" s="13">
        <v>3.26</v>
      </c>
      <c r="F89" s="13">
        <v>2.5099999999999998</v>
      </c>
      <c r="G89" s="13">
        <v>0.89</v>
      </c>
      <c r="H89" s="13">
        <v>15.38</v>
      </c>
      <c r="I89" s="13">
        <v>5.72</v>
      </c>
      <c r="J89" s="13">
        <f>(H89-I89)</f>
        <v>9.66</v>
      </c>
      <c r="K89" s="13">
        <f>ABS(J89)</f>
        <v>9.66</v>
      </c>
      <c r="L89" s="9"/>
    </row>
    <row r="90" spans="1:12" x14ac:dyDescent="0.35">
      <c r="A90" s="11" t="s">
        <v>53</v>
      </c>
      <c r="B90" s="13">
        <v>2.04</v>
      </c>
      <c r="C90" s="13">
        <v>5.86</v>
      </c>
      <c r="D90" s="13">
        <v>8</v>
      </c>
      <c r="E90" s="13">
        <v>6.45</v>
      </c>
      <c r="F90" s="13">
        <v>2.59</v>
      </c>
      <c r="G90" s="13">
        <v>1.04</v>
      </c>
      <c r="H90" s="13">
        <v>11.76</v>
      </c>
      <c r="I90" s="13">
        <v>2.13</v>
      </c>
      <c r="J90" s="13">
        <f>(H90-I90)</f>
        <v>9.629999999999999</v>
      </c>
      <c r="K90" s="13">
        <f>ABS(J90)</f>
        <v>9.629999999999999</v>
      </c>
      <c r="L90" s="9"/>
    </row>
    <row r="91" spans="1:12" x14ac:dyDescent="0.35">
      <c r="A91" s="11" t="s">
        <v>43</v>
      </c>
      <c r="B91" s="13">
        <v>9.6300000000000008</v>
      </c>
      <c r="C91" s="13">
        <v>10.28</v>
      </c>
      <c r="D91" s="13">
        <v>11.35</v>
      </c>
      <c r="E91" s="13">
        <v>5.12</v>
      </c>
      <c r="F91" s="13">
        <v>4.6399999999999997</v>
      </c>
      <c r="G91" s="13">
        <v>1.5</v>
      </c>
      <c r="H91" s="13">
        <v>16.34</v>
      </c>
      <c r="I91" s="13">
        <v>6.75</v>
      </c>
      <c r="J91" s="13">
        <f>(H91-I91)</f>
        <v>9.59</v>
      </c>
      <c r="K91" s="13">
        <f>ABS(J91)</f>
        <v>9.59</v>
      </c>
      <c r="L91" s="9"/>
    </row>
    <row r="92" spans="1:12" x14ac:dyDescent="0.35">
      <c r="A92" s="11" t="s">
        <v>45</v>
      </c>
      <c r="B92" s="13">
        <v>2.5099999999999998</v>
      </c>
      <c r="C92" s="13">
        <v>10.19</v>
      </c>
      <c r="D92" s="13">
        <v>10.93</v>
      </c>
      <c r="E92" s="13">
        <v>3.33</v>
      </c>
      <c r="F92" s="13">
        <v>4.37</v>
      </c>
      <c r="G92" s="13">
        <v>0.56000000000000005</v>
      </c>
      <c r="H92" s="13">
        <v>13.82</v>
      </c>
      <c r="I92" s="13">
        <v>4.3899999999999997</v>
      </c>
      <c r="J92" s="13">
        <f>(H92-I92)</f>
        <v>9.43</v>
      </c>
      <c r="K92" s="13">
        <f>ABS(J92)</f>
        <v>9.43</v>
      </c>
      <c r="L92" s="9"/>
    </row>
    <row r="93" spans="1:12" x14ac:dyDescent="0.35">
      <c r="A93" s="11" t="s">
        <v>26</v>
      </c>
      <c r="B93" s="13">
        <v>3.35</v>
      </c>
      <c r="C93" s="13">
        <v>9.76</v>
      </c>
      <c r="D93" s="13">
        <v>11.1</v>
      </c>
      <c r="E93" s="13">
        <v>0.87</v>
      </c>
      <c r="F93" s="13">
        <v>3.37</v>
      </c>
      <c r="G93" s="13">
        <v>0.86</v>
      </c>
      <c r="H93" s="13">
        <v>14.74</v>
      </c>
      <c r="I93" s="13">
        <v>5.38</v>
      </c>
      <c r="J93" s="13">
        <f>(H93-I93)</f>
        <v>9.36</v>
      </c>
      <c r="K93" s="13">
        <f>ABS(J93)</f>
        <v>9.36</v>
      </c>
      <c r="L93" s="9"/>
    </row>
    <row r="94" spans="1:12" x14ac:dyDescent="0.35">
      <c r="A94" s="11" t="s">
        <v>46</v>
      </c>
      <c r="B94" s="13">
        <v>3.43</v>
      </c>
      <c r="C94" s="13">
        <v>9.76</v>
      </c>
      <c r="D94" s="13">
        <v>10.58</v>
      </c>
      <c r="E94" s="13">
        <v>2.3199999999999998</v>
      </c>
      <c r="F94" s="13">
        <v>2.7</v>
      </c>
      <c r="G94" s="13">
        <v>2.3199999999999998</v>
      </c>
      <c r="H94" s="13">
        <v>16.760000000000002</v>
      </c>
      <c r="I94" s="13">
        <v>7.66</v>
      </c>
      <c r="J94" s="13">
        <f>(H94-I94)</f>
        <v>9.1000000000000014</v>
      </c>
      <c r="K94" s="13">
        <f>ABS(J94)</f>
        <v>9.1000000000000014</v>
      </c>
      <c r="L94" s="9"/>
    </row>
    <row r="95" spans="1:12" x14ac:dyDescent="0.35">
      <c r="A95" s="11" t="s">
        <v>59</v>
      </c>
      <c r="B95" s="13">
        <v>4.4000000000000004</v>
      </c>
      <c r="C95" s="13">
        <v>10.65</v>
      </c>
      <c r="D95" s="13">
        <v>9.07</v>
      </c>
      <c r="E95" s="13">
        <v>2.35</v>
      </c>
      <c r="F95" s="13">
        <v>6.41</v>
      </c>
      <c r="G95" s="13">
        <v>2.23</v>
      </c>
      <c r="H95" s="13">
        <v>16.41</v>
      </c>
      <c r="I95" s="13">
        <v>7.82</v>
      </c>
      <c r="J95" s="13">
        <f>(H95-I95)</f>
        <v>8.59</v>
      </c>
      <c r="K95" s="13">
        <f>ABS(J95)</f>
        <v>8.59</v>
      </c>
      <c r="L95" s="9"/>
    </row>
    <row r="96" spans="1:12" x14ac:dyDescent="0.35">
      <c r="A96" s="11" t="s">
        <v>79</v>
      </c>
      <c r="B96" s="13">
        <v>3.2</v>
      </c>
      <c r="C96" s="13">
        <v>10.87</v>
      </c>
      <c r="D96" s="13">
        <v>11.15</v>
      </c>
      <c r="E96" s="13">
        <v>2.4700000000000002</v>
      </c>
      <c r="F96" s="13">
        <v>4.9400000000000004</v>
      </c>
      <c r="G96" s="13">
        <v>1.8</v>
      </c>
      <c r="H96" s="13">
        <v>13.22</v>
      </c>
      <c r="I96" s="13">
        <v>4.78</v>
      </c>
      <c r="J96" s="13">
        <f>(H96-I96)</f>
        <v>8.4400000000000013</v>
      </c>
      <c r="K96" s="13">
        <f>ABS(J96)</f>
        <v>8.4400000000000013</v>
      </c>
      <c r="L96" s="9"/>
    </row>
    <row r="97" spans="1:12" x14ac:dyDescent="0.35">
      <c r="A97" s="11" t="s">
        <v>97</v>
      </c>
      <c r="B97" s="13">
        <v>1.88</v>
      </c>
      <c r="C97" s="13">
        <v>11.56</v>
      </c>
      <c r="D97" s="13">
        <v>10.92</v>
      </c>
      <c r="E97" s="13">
        <v>6.57</v>
      </c>
      <c r="F97" s="13">
        <v>7.78</v>
      </c>
      <c r="G97" s="13">
        <v>2.39</v>
      </c>
      <c r="H97" s="13">
        <v>14.46</v>
      </c>
      <c r="I97" s="13">
        <v>7.75</v>
      </c>
      <c r="J97" s="13">
        <f>(H97-I97)</f>
        <v>6.7100000000000009</v>
      </c>
      <c r="K97" s="13">
        <f>ABS(J97)</f>
        <v>6.7100000000000009</v>
      </c>
      <c r="L97" s="9"/>
    </row>
    <row r="98" spans="1:12" x14ac:dyDescent="0.35">
      <c r="A98" s="11" t="s">
        <v>42</v>
      </c>
      <c r="B98" s="13">
        <v>0</v>
      </c>
      <c r="C98" s="13">
        <v>4.0999999999999996</v>
      </c>
      <c r="D98" s="13">
        <v>7.83</v>
      </c>
      <c r="E98" s="13">
        <v>6.04</v>
      </c>
      <c r="F98" s="13">
        <v>5.26</v>
      </c>
      <c r="G98" s="13">
        <v>0.63</v>
      </c>
      <c r="H98" s="13">
        <v>7.25</v>
      </c>
      <c r="I98" s="13">
        <v>4.1500000000000004</v>
      </c>
      <c r="J98" s="13">
        <f>(H98-I98)</f>
        <v>3.0999999999999996</v>
      </c>
      <c r="K98" s="13">
        <f>ABS(J98)</f>
        <v>3.0999999999999996</v>
      </c>
      <c r="L98" s="9"/>
    </row>
    <row r="99" spans="1:12" x14ac:dyDescent="0.35">
      <c r="A99" s="11" t="s">
        <v>102</v>
      </c>
      <c r="B99" s="13">
        <v>0</v>
      </c>
      <c r="C99" s="13">
        <v>4.0999999999999996</v>
      </c>
      <c r="D99" s="13">
        <v>7.83</v>
      </c>
      <c r="E99" s="13">
        <v>6.04</v>
      </c>
      <c r="F99" s="13">
        <v>5.26</v>
      </c>
      <c r="G99" s="13">
        <v>1.73</v>
      </c>
      <c r="H99" s="13">
        <v>7.25</v>
      </c>
      <c r="I99" s="13">
        <v>4.1500000000000004</v>
      </c>
      <c r="J99" s="13">
        <f>(H99-I99)</f>
        <v>3.0999999999999996</v>
      </c>
      <c r="K99" s="13">
        <f>ABS(J99)</f>
        <v>3.0999999999999996</v>
      </c>
      <c r="L99" s="9"/>
    </row>
    <row r="100" spans="1:12" x14ac:dyDescent="0.35">
      <c r="A100" s="11" t="s">
        <v>5</v>
      </c>
      <c r="B100" s="13">
        <v>0</v>
      </c>
      <c r="C100" s="13">
        <v>0</v>
      </c>
      <c r="D100" s="13">
        <v>0.55000000000000004</v>
      </c>
      <c r="E100" s="13">
        <v>2.2799999999999998</v>
      </c>
      <c r="F100" s="13">
        <v>2.5099999999999998</v>
      </c>
      <c r="G100" s="13">
        <v>2.62</v>
      </c>
      <c r="H100" s="13">
        <v>5.1100000000000003</v>
      </c>
      <c r="I100" s="13">
        <v>3.67</v>
      </c>
      <c r="J100" s="13">
        <f>(H100-I100)</f>
        <v>1.4400000000000004</v>
      </c>
      <c r="K100" s="13">
        <f>ABS(J100)</f>
        <v>1.4400000000000004</v>
      </c>
      <c r="L100" s="9"/>
    </row>
    <row r="101" spans="1:12" x14ac:dyDescent="0.35">
      <c r="A101" s="11" t="s">
        <v>29</v>
      </c>
      <c r="B101" s="13">
        <v>0</v>
      </c>
      <c r="C101" s="13">
        <v>0</v>
      </c>
      <c r="D101" s="13">
        <v>0</v>
      </c>
      <c r="E101" s="13">
        <v>0</v>
      </c>
      <c r="F101" s="13">
        <v>4.0999999999999996</v>
      </c>
      <c r="G101" s="13">
        <v>1.2</v>
      </c>
      <c r="H101" s="13">
        <v>3.81</v>
      </c>
      <c r="I101" s="13">
        <v>3.51</v>
      </c>
      <c r="J101" s="13">
        <f>(H101-I101)</f>
        <v>0.30000000000000027</v>
      </c>
      <c r="K101" s="13">
        <f>ABS(J101)</f>
        <v>0.30000000000000027</v>
      </c>
      <c r="L101" s="9"/>
    </row>
    <row r="102" spans="1:12" x14ac:dyDescent="0.35">
      <c r="A102" s="11" t="s">
        <v>34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1.55</v>
      </c>
      <c r="H102" s="13">
        <v>0.56000000000000005</v>
      </c>
      <c r="I102" s="13">
        <v>1.17</v>
      </c>
      <c r="J102" s="13">
        <f>(H102-I102)</f>
        <v>-0.60999999999999988</v>
      </c>
      <c r="K102" s="13">
        <f>ABS(J102)</f>
        <v>0.60999999999999988</v>
      </c>
      <c r="L102" s="9"/>
    </row>
    <row r="103" spans="1:12" x14ac:dyDescent="0.35">
      <c r="A103" s="11" t="s">
        <v>62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5.84</v>
      </c>
      <c r="H103" s="13">
        <v>0.81</v>
      </c>
      <c r="I103" s="13">
        <v>1.82</v>
      </c>
      <c r="J103" s="13">
        <f>(H103-I103)</f>
        <v>-1.01</v>
      </c>
      <c r="K103" s="13">
        <f>ABS(J103)</f>
        <v>1.01</v>
      </c>
      <c r="L103" s="9"/>
    </row>
    <row r="104" spans="1:12" x14ac:dyDescent="0.35">
      <c r="A104" s="11" t="s">
        <v>3</v>
      </c>
      <c r="B104" s="13">
        <v>0.21</v>
      </c>
      <c r="C104" s="13">
        <v>0.67</v>
      </c>
      <c r="D104" s="13">
        <v>0.93</v>
      </c>
      <c r="E104" s="13">
        <v>7.0000000000000007E-2</v>
      </c>
      <c r="F104" s="13">
        <v>0.35</v>
      </c>
      <c r="G104" s="13">
        <v>15.66</v>
      </c>
      <c r="H104" s="13">
        <v>9.23</v>
      </c>
      <c r="I104" s="13">
        <v>17.21</v>
      </c>
      <c r="J104" s="13">
        <f>(H104-I104)</f>
        <v>-7.98</v>
      </c>
      <c r="K104" s="13">
        <f>ABS(J104)</f>
        <v>7.98</v>
      </c>
      <c r="L104" s="9"/>
    </row>
    <row r="105" spans="1:12" x14ac:dyDescent="0.35">
      <c r="A105" s="2"/>
    </row>
    <row r="106" spans="1:12" x14ac:dyDescent="0.35">
      <c r="A106" s="1"/>
    </row>
    <row r="107" spans="1:12" x14ac:dyDescent="0.35">
      <c r="A107" s="1"/>
    </row>
    <row r="108" spans="1:12" x14ac:dyDescent="0.35">
      <c r="A108" s="1"/>
    </row>
    <row r="109" spans="1:12" x14ac:dyDescent="0.35">
      <c r="A109" s="1"/>
    </row>
    <row r="110" spans="1:12" x14ac:dyDescent="0.35">
      <c r="A110" s="1"/>
    </row>
    <row r="111" spans="1:12" x14ac:dyDescent="0.35">
      <c r="A111" s="1"/>
    </row>
    <row r="112" spans="1:12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</sheetData>
  <sortState xmlns:xlrd2="http://schemas.microsoft.com/office/spreadsheetml/2017/richdata2" ref="A2:L104">
    <sortCondition descending="1" ref="B2:B104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ABE6-1F08-42A5-9242-482B9054D810}">
  <dimension ref="A3:A8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6.453125" bestFit="1" customWidth="1"/>
  </cols>
  <sheetData>
    <row r="3" spans="1:1" x14ac:dyDescent="0.35">
      <c r="A3" s="7" t="s">
        <v>103</v>
      </c>
    </row>
    <row r="4" spans="1:1" x14ac:dyDescent="0.35">
      <c r="A4" s="8">
        <v>0</v>
      </c>
    </row>
    <row r="5" spans="1:1" x14ac:dyDescent="0.35">
      <c r="A5" s="8">
        <v>0.21</v>
      </c>
    </row>
    <row r="6" spans="1:1" x14ac:dyDescent="0.35">
      <c r="A6" s="8">
        <v>0.3</v>
      </c>
    </row>
    <row r="7" spans="1:1" x14ac:dyDescent="0.35">
      <c r="A7" s="8">
        <v>0.32</v>
      </c>
    </row>
    <row r="8" spans="1:1" x14ac:dyDescent="0.35">
      <c r="A8" s="8">
        <v>0.48</v>
      </c>
    </row>
    <row r="9" spans="1:1" x14ac:dyDescent="0.35">
      <c r="A9" s="8">
        <v>0.68</v>
      </c>
    </row>
    <row r="10" spans="1:1" x14ac:dyDescent="0.35">
      <c r="A10" s="8">
        <v>1.19</v>
      </c>
    </row>
    <row r="11" spans="1:1" x14ac:dyDescent="0.35">
      <c r="A11" s="8">
        <v>1.28</v>
      </c>
    </row>
    <row r="12" spans="1:1" x14ac:dyDescent="0.35">
      <c r="A12" s="8">
        <v>1.43</v>
      </c>
    </row>
    <row r="13" spans="1:1" x14ac:dyDescent="0.35">
      <c r="A13" s="8">
        <v>1.44</v>
      </c>
    </row>
    <row r="14" spans="1:1" x14ac:dyDescent="0.35">
      <c r="A14" s="8">
        <v>1.59</v>
      </c>
    </row>
    <row r="15" spans="1:1" x14ac:dyDescent="0.35">
      <c r="A15" s="8">
        <v>1.6</v>
      </c>
    </row>
    <row r="16" spans="1:1" x14ac:dyDescent="0.35">
      <c r="A16" s="8">
        <v>1.66</v>
      </c>
    </row>
    <row r="17" spans="1:1" x14ac:dyDescent="0.35">
      <c r="A17" s="8">
        <v>1.71</v>
      </c>
    </row>
    <row r="18" spans="1:1" x14ac:dyDescent="0.35">
      <c r="A18" s="8">
        <v>1.73</v>
      </c>
    </row>
    <row r="19" spans="1:1" x14ac:dyDescent="0.35">
      <c r="A19" s="8">
        <v>1.77</v>
      </c>
    </row>
    <row r="20" spans="1:1" x14ac:dyDescent="0.35">
      <c r="A20" s="8">
        <v>1.82</v>
      </c>
    </row>
    <row r="21" spans="1:1" x14ac:dyDescent="0.35">
      <c r="A21" s="8">
        <v>1.88</v>
      </c>
    </row>
    <row r="22" spans="1:1" x14ac:dyDescent="0.35">
      <c r="A22" s="8">
        <v>1.91</v>
      </c>
    </row>
    <row r="23" spans="1:1" x14ac:dyDescent="0.35">
      <c r="A23" s="8">
        <v>1.99</v>
      </c>
    </row>
    <row r="24" spans="1:1" x14ac:dyDescent="0.35">
      <c r="A24" s="8">
        <v>2.02</v>
      </c>
    </row>
    <row r="25" spans="1:1" x14ac:dyDescent="0.35">
      <c r="A25" s="8">
        <v>2.04</v>
      </c>
    </row>
    <row r="26" spans="1:1" x14ac:dyDescent="0.35">
      <c r="A26" s="8">
        <v>2.1</v>
      </c>
    </row>
    <row r="27" spans="1:1" x14ac:dyDescent="0.35">
      <c r="A27" s="8">
        <v>2.15</v>
      </c>
    </row>
    <row r="28" spans="1:1" x14ac:dyDescent="0.35">
      <c r="A28" s="8">
        <v>2.16</v>
      </c>
    </row>
    <row r="29" spans="1:1" x14ac:dyDescent="0.35">
      <c r="A29" s="8">
        <v>2.25</v>
      </c>
    </row>
    <row r="30" spans="1:1" x14ac:dyDescent="0.35">
      <c r="A30" s="8">
        <v>2.29</v>
      </c>
    </row>
    <row r="31" spans="1:1" x14ac:dyDescent="0.35">
      <c r="A31" s="8">
        <v>2.34</v>
      </c>
    </row>
    <row r="32" spans="1:1" x14ac:dyDescent="0.35">
      <c r="A32" s="8">
        <v>2.37</v>
      </c>
    </row>
    <row r="33" spans="1:1" x14ac:dyDescent="0.35">
      <c r="A33" s="8">
        <v>2.4700000000000002</v>
      </c>
    </row>
    <row r="34" spans="1:1" x14ac:dyDescent="0.35">
      <c r="A34" s="8">
        <v>2.5099999999999998</v>
      </c>
    </row>
    <row r="35" spans="1:1" x14ac:dyDescent="0.35">
      <c r="A35" s="8">
        <v>2.56</v>
      </c>
    </row>
    <row r="36" spans="1:1" x14ac:dyDescent="0.35">
      <c r="A36" s="8">
        <v>2.6</v>
      </c>
    </row>
    <row r="37" spans="1:1" x14ac:dyDescent="0.35">
      <c r="A37" s="8">
        <v>2.72</v>
      </c>
    </row>
    <row r="38" spans="1:1" x14ac:dyDescent="0.35">
      <c r="A38" s="8">
        <v>2.73</v>
      </c>
    </row>
    <row r="39" spans="1:1" x14ac:dyDescent="0.35">
      <c r="A39" s="8">
        <v>2.76</v>
      </c>
    </row>
    <row r="40" spans="1:1" x14ac:dyDescent="0.35">
      <c r="A40" s="8">
        <v>2.88</v>
      </c>
    </row>
    <row r="41" spans="1:1" x14ac:dyDescent="0.35">
      <c r="A41" s="8">
        <v>2.99</v>
      </c>
    </row>
    <row r="42" spans="1:1" x14ac:dyDescent="0.35">
      <c r="A42" s="8">
        <v>3.03</v>
      </c>
    </row>
    <row r="43" spans="1:1" x14ac:dyDescent="0.35">
      <c r="A43" s="8">
        <v>3.04</v>
      </c>
    </row>
    <row r="44" spans="1:1" x14ac:dyDescent="0.35">
      <c r="A44" s="8">
        <v>3.12</v>
      </c>
    </row>
    <row r="45" spans="1:1" x14ac:dyDescent="0.35">
      <c r="A45" s="8">
        <v>3.13</v>
      </c>
    </row>
    <row r="46" spans="1:1" x14ac:dyDescent="0.35">
      <c r="A46" s="8">
        <v>3.2</v>
      </c>
    </row>
    <row r="47" spans="1:1" x14ac:dyDescent="0.35">
      <c r="A47" s="8">
        <v>3.21</v>
      </c>
    </row>
    <row r="48" spans="1:1" x14ac:dyDescent="0.35">
      <c r="A48" s="8">
        <v>3.27</v>
      </c>
    </row>
    <row r="49" spans="1:1" x14ac:dyDescent="0.35">
      <c r="A49" s="8">
        <v>3.35</v>
      </c>
    </row>
    <row r="50" spans="1:1" x14ac:dyDescent="0.35">
      <c r="A50" s="8">
        <v>3.41</v>
      </c>
    </row>
    <row r="51" spans="1:1" x14ac:dyDescent="0.35">
      <c r="A51" s="8">
        <v>3.42</v>
      </c>
    </row>
    <row r="52" spans="1:1" x14ac:dyDescent="0.35">
      <c r="A52" s="8">
        <v>3.43</v>
      </c>
    </row>
    <row r="53" spans="1:1" x14ac:dyDescent="0.35">
      <c r="A53" s="8">
        <v>3.52</v>
      </c>
    </row>
    <row r="54" spans="1:1" x14ac:dyDescent="0.35">
      <c r="A54" s="8">
        <v>3.55</v>
      </c>
    </row>
    <row r="55" spans="1:1" x14ac:dyDescent="0.35">
      <c r="A55" s="8">
        <v>3.57</v>
      </c>
    </row>
    <row r="56" spans="1:1" x14ac:dyDescent="0.35">
      <c r="A56" s="8">
        <v>3.59</v>
      </c>
    </row>
    <row r="57" spans="1:1" x14ac:dyDescent="0.35">
      <c r="A57" s="8">
        <v>3.66</v>
      </c>
    </row>
    <row r="58" spans="1:1" x14ac:dyDescent="0.35">
      <c r="A58" s="8">
        <v>3.68</v>
      </c>
    </row>
    <row r="59" spans="1:1" x14ac:dyDescent="0.35">
      <c r="A59" s="8">
        <v>3.69</v>
      </c>
    </row>
    <row r="60" spans="1:1" x14ac:dyDescent="0.35">
      <c r="A60" s="8">
        <v>3.71</v>
      </c>
    </row>
    <row r="61" spans="1:1" x14ac:dyDescent="0.35">
      <c r="A61" s="8">
        <v>3.73</v>
      </c>
    </row>
    <row r="62" spans="1:1" x14ac:dyDescent="0.35">
      <c r="A62" s="8">
        <v>3.8</v>
      </c>
    </row>
    <row r="63" spans="1:1" x14ac:dyDescent="0.35">
      <c r="A63" s="8">
        <v>3.81</v>
      </c>
    </row>
    <row r="64" spans="1:1" x14ac:dyDescent="0.35">
      <c r="A64" s="8">
        <v>3.83</v>
      </c>
    </row>
    <row r="65" spans="1:1" x14ac:dyDescent="0.35">
      <c r="A65" s="8">
        <v>3.88</v>
      </c>
    </row>
    <row r="66" spans="1:1" x14ac:dyDescent="0.35">
      <c r="A66" s="8">
        <v>3.9</v>
      </c>
    </row>
    <row r="67" spans="1:1" x14ac:dyDescent="0.35">
      <c r="A67" s="8">
        <v>3.92</v>
      </c>
    </row>
    <row r="68" spans="1:1" x14ac:dyDescent="0.35">
      <c r="A68" s="8">
        <v>3.95</v>
      </c>
    </row>
    <row r="69" spans="1:1" x14ac:dyDescent="0.35">
      <c r="A69" s="8">
        <v>3.99</v>
      </c>
    </row>
    <row r="70" spans="1:1" x14ac:dyDescent="0.35">
      <c r="A70" s="8">
        <v>4.05</v>
      </c>
    </row>
    <row r="71" spans="1:1" x14ac:dyDescent="0.35">
      <c r="A71" s="8">
        <v>4.18</v>
      </c>
    </row>
    <row r="72" spans="1:1" x14ac:dyDescent="0.35">
      <c r="A72" s="8">
        <v>4.3</v>
      </c>
    </row>
    <row r="73" spans="1:1" x14ac:dyDescent="0.35">
      <c r="A73" s="8">
        <v>4.4000000000000004</v>
      </c>
    </row>
    <row r="74" spans="1:1" x14ac:dyDescent="0.35">
      <c r="A74" s="8">
        <v>4.5</v>
      </c>
    </row>
    <row r="75" spans="1:1" x14ac:dyDescent="0.35">
      <c r="A75" s="8">
        <v>4.5999999999999996</v>
      </c>
    </row>
    <row r="76" spans="1:1" x14ac:dyDescent="0.35">
      <c r="A76" s="8">
        <v>4.6399999999999997</v>
      </c>
    </row>
    <row r="77" spans="1:1" x14ac:dyDescent="0.35">
      <c r="A77" s="8">
        <v>4.6500000000000004</v>
      </c>
    </row>
    <row r="78" spans="1:1" x14ac:dyDescent="0.35">
      <c r="A78" s="8">
        <v>4.79</v>
      </c>
    </row>
    <row r="79" spans="1:1" x14ac:dyDescent="0.35">
      <c r="A79" s="8">
        <v>5.15</v>
      </c>
    </row>
    <row r="80" spans="1:1" x14ac:dyDescent="0.35">
      <c r="A80" s="8">
        <v>5.19</v>
      </c>
    </row>
    <row r="81" spans="1:1" x14ac:dyDescent="0.35">
      <c r="A81" s="8">
        <v>5.32</v>
      </c>
    </row>
    <row r="82" spans="1:1" x14ac:dyDescent="0.35">
      <c r="A82" s="8">
        <v>5.52</v>
      </c>
    </row>
    <row r="83" spans="1:1" x14ac:dyDescent="0.35">
      <c r="A83" s="8">
        <v>5.66</v>
      </c>
    </row>
    <row r="84" spans="1:1" x14ac:dyDescent="0.35">
      <c r="A84" s="8">
        <v>9.6300000000000008</v>
      </c>
    </row>
    <row r="85" spans="1:1" x14ac:dyDescent="0.35">
      <c r="A85" s="8">
        <v>10.58</v>
      </c>
    </row>
    <row r="86" spans="1:1" x14ac:dyDescent="0.35">
      <c r="A86" s="8">
        <v>17.100000000000001</v>
      </c>
    </row>
    <row r="87" spans="1:1" x14ac:dyDescent="0.35">
      <c r="A87" s="8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A8DB-11C6-4A39-ADA5-959DB650DDF1}">
  <dimension ref="A1:G104"/>
  <sheetViews>
    <sheetView workbookViewId="0">
      <selection sqref="A1:G104"/>
    </sheetView>
  </sheetViews>
  <sheetFormatPr defaultRowHeight="14.5" x14ac:dyDescent="0.35"/>
  <sheetData>
    <row r="1" spans="1:7" x14ac:dyDescent="0.35">
      <c r="A1" s="3"/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</row>
    <row r="2" spans="1:7" x14ac:dyDescent="0.35">
      <c r="A2" s="5" t="s">
        <v>0</v>
      </c>
      <c r="B2" s="6">
        <v>2.4700000000000002</v>
      </c>
      <c r="C2" s="6">
        <v>7.18</v>
      </c>
      <c r="D2" s="6">
        <v>11.63</v>
      </c>
      <c r="E2" s="6">
        <v>2.67</v>
      </c>
      <c r="F2" s="6">
        <v>2.04</v>
      </c>
      <c r="G2" s="6">
        <v>0.5</v>
      </c>
    </row>
    <row r="3" spans="1:7" x14ac:dyDescent="0.35">
      <c r="A3" s="5" t="s">
        <v>1</v>
      </c>
      <c r="B3" s="6">
        <v>10.58</v>
      </c>
      <c r="C3" s="6">
        <v>8.08</v>
      </c>
      <c r="D3" s="6">
        <v>1.86</v>
      </c>
      <c r="E3" s="6">
        <v>3.55</v>
      </c>
      <c r="F3" s="6">
        <v>0.56999999999999995</v>
      </c>
      <c r="G3" s="6">
        <v>2.44</v>
      </c>
    </row>
    <row r="4" spans="1:7" x14ac:dyDescent="0.35">
      <c r="A4" s="5" t="s">
        <v>2</v>
      </c>
      <c r="B4" s="6">
        <v>10.58</v>
      </c>
      <c r="C4" s="6">
        <v>8.08</v>
      </c>
      <c r="D4" s="6">
        <v>1.86</v>
      </c>
      <c r="E4" s="6">
        <v>3.55</v>
      </c>
      <c r="F4" s="6">
        <v>0.56999999999999995</v>
      </c>
      <c r="G4" s="6">
        <v>0</v>
      </c>
    </row>
    <row r="5" spans="1:7" x14ac:dyDescent="0.35">
      <c r="A5" s="5" t="s">
        <v>3</v>
      </c>
      <c r="B5" s="6">
        <v>0.21</v>
      </c>
      <c r="C5" s="6">
        <v>0.67</v>
      </c>
      <c r="D5" s="6">
        <v>0.93</v>
      </c>
      <c r="E5" s="6">
        <v>7.0000000000000007E-2</v>
      </c>
      <c r="F5" s="6">
        <v>0.35</v>
      </c>
      <c r="G5" s="6">
        <v>15.66</v>
      </c>
    </row>
    <row r="6" spans="1:7" x14ac:dyDescent="0.35">
      <c r="A6" s="5" t="s">
        <v>4</v>
      </c>
      <c r="B6" s="6">
        <v>3.81</v>
      </c>
      <c r="C6" s="6">
        <v>10.58</v>
      </c>
      <c r="D6" s="6">
        <v>11.9</v>
      </c>
      <c r="E6" s="6">
        <v>0.81</v>
      </c>
      <c r="F6" s="6">
        <v>3.19</v>
      </c>
      <c r="G6" s="6">
        <v>0.62</v>
      </c>
    </row>
    <row r="7" spans="1:7" x14ac:dyDescent="0.35">
      <c r="A7" s="5" t="s">
        <v>5</v>
      </c>
      <c r="B7" s="6">
        <v>0</v>
      </c>
      <c r="C7" s="6">
        <v>0</v>
      </c>
      <c r="D7" s="6">
        <v>0.55000000000000004</v>
      </c>
      <c r="E7" s="6">
        <v>2.2799999999999998</v>
      </c>
      <c r="F7" s="6">
        <v>2.5099999999999998</v>
      </c>
      <c r="G7" s="6">
        <v>2.62</v>
      </c>
    </row>
    <row r="8" spans="1:7" x14ac:dyDescent="0.35">
      <c r="A8" s="5" t="s">
        <v>6</v>
      </c>
      <c r="B8" s="6">
        <v>3.41</v>
      </c>
      <c r="C8" s="6">
        <v>8.58</v>
      </c>
      <c r="D8" s="6">
        <v>6.57</v>
      </c>
      <c r="E8" s="6">
        <v>1.02</v>
      </c>
      <c r="F8" s="6">
        <v>1.49</v>
      </c>
      <c r="G8" s="6">
        <v>4.26</v>
      </c>
    </row>
    <row r="9" spans="1:7" x14ac:dyDescent="0.35">
      <c r="A9" s="5" t="s">
        <v>7</v>
      </c>
      <c r="B9" s="6">
        <v>2.56</v>
      </c>
      <c r="C9" s="6">
        <v>11.1</v>
      </c>
      <c r="D9" s="6">
        <v>10.36</v>
      </c>
      <c r="E9" s="6">
        <v>2.41</v>
      </c>
      <c r="F9" s="6">
        <v>4.76</v>
      </c>
      <c r="G9" s="6">
        <v>1.05</v>
      </c>
    </row>
    <row r="10" spans="1:7" x14ac:dyDescent="0.35">
      <c r="A10" s="5" t="s">
        <v>8</v>
      </c>
      <c r="B10" s="6">
        <v>5.19</v>
      </c>
      <c r="C10" s="6">
        <v>10.98</v>
      </c>
      <c r="D10" s="6">
        <v>12.81</v>
      </c>
      <c r="E10" s="6">
        <v>0.89</v>
      </c>
      <c r="F10" s="6">
        <v>1.78</v>
      </c>
      <c r="G10" s="6">
        <v>1.57</v>
      </c>
    </row>
    <row r="11" spans="1:7" x14ac:dyDescent="0.35">
      <c r="A11" s="5" t="s">
        <v>9</v>
      </c>
      <c r="B11" s="6">
        <v>1.71</v>
      </c>
      <c r="C11" s="6">
        <v>12.48</v>
      </c>
      <c r="D11" s="6">
        <v>17.04</v>
      </c>
      <c r="E11" s="6">
        <v>2.38</v>
      </c>
      <c r="F11" s="6">
        <v>6.28</v>
      </c>
      <c r="G11" s="6">
        <v>0.62</v>
      </c>
    </row>
    <row r="12" spans="1:7" x14ac:dyDescent="0.35">
      <c r="A12" s="5" t="s">
        <v>10</v>
      </c>
      <c r="B12" s="6">
        <v>1.59</v>
      </c>
      <c r="C12" s="6">
        <v>8.3800000000000008</v>
      </c>
      <c r="D12" s="6">
        <v>33.08</v>
      </c>
      <c r="E12" s="6">
        <v>1.69</v>
      </c>
      <c r="F12" s="6">
        <v>1.64</v>
      </c>
      <c r="G12" s="6">
        <v>3.79</v>
      </c>
    </row>
    <row r="13" spans="1:7" x14ac:dyDescent="0.35">
      <c r="A13" s="5" t="s">
        <v>11</v>
      </c>
      <c r="B13" s="6">
        <v>3.69</v>
      </c>
      <c r="C13" s="6">
        <v>9.85</v>
      </c>
      <c r="D13" s="6">
        <v>9.7799999999999994</v>
      </c>
      <c r="E13" s="6">
        <v>3.67</v>
      </c>
      <c r="F13" s="6">
        <v>4.05</v>
      </c>
      <c r="G13" s="6">
        <v>0.93</v>
      </c>
    </row>
    <row r="14" spans="1:7" x14ac:dyDescent="0.35">
      <c r="A14" s="5" t="s">
        <v>12</v>
      </c>
      <c r="B14" s="6">
        <v>2.34</v>
      </c>
      <c r="C14" s="6">
        <v>10.6</v>
      </c>
      <c r="D14" s="6">
        <v>14.47</v>
      </c>
      <c r="E14" s="6">
        <v>4.3600000000000003</v>
      </c>
      <c r="F14" s="6">
        <v>3.08</v>
      </c>
      <c r="G14" s="6">
        <v>1.0900000000000001</v>
      </c>
    </row>
    <row r="15" spans="1:7" x14ac:dyDescent="0.35">
      <c r="A15" s="5" t="s">
        <v>13</v>
      </c>
      <c r="B15" s="6">
        <v>1.28</v>
      </c>
      <c r="C15" s="6">
        <v>6.81</v>
      </c>
      <c r="D15" s="6">
        <v>13.96</v>
      </c>
      <c r="E15" s="6">
        <v>3.42</v>
      </c>
      <c r="F15" s="6">
        <v>3.9</v>
      </c>
      <c r="G15" s="6">
        <v>1.02</v>
      </c>
    </row>
    <row r="16" spans="1:7" x14ac:dyDescent="0.35">
      <c r="A16" s="5" t="s">
        <v>14</v>
      </c>
      <c r="B16" s="6">
        <v>2.72</v>
      </c>
      <c r="C16" s="6">
        <v>9.3699999999999992</v>
      </c>
      <c r="D16" s="6">
        <v>7.59</v>
      </c>
      <c r="E16" s="6">
        <v>0.88</v>
      </c>
      <c r="F16" s="6">
        <v>0.36</v>
      </c>
      <c r="G16" s="6">
        <v>3.79</v>
      </c>
    </row>
    <row r="17" spans="1:7" x14ac:dyDescent="0.35">
      <c r="A17" s="5" t="s">
        <v>15</v>
      </c>
      <c r="B17" s="6">
        <v>3.42</v>
      </c>
      <c r="C17" s="6">
        <v>10.35</v>
      </c>
      <c r="D17" s="6">
        <v>11.04</v>
      </c>
      <c r="E17" s="6">
        <v>0.64</v>
      </c>
      <c r="F17" s="6">
        <v>3.24</v>
      </c>
      <c r="G17" s="6">
        <v>1.05</v>
      </c>
    </row>
    <row r="18" spans="1:7" x14ac:dyDescent="0.35">
      <c r="A18" s="5" t="s">
        <v>16</v>
      </c>
      <c r="B18" s="6">
        <v>1.6</v>
      </c>
      <c r="C18" s="6">
        <v>9.0399999999999991</v>
      </c>
      <c r="D18" s="6">
        <v>11.4</v>
      </c>
      <c r="E18" s="6">
        <v>2.74</v>
      </c>
      <c r="F18" s="6">
        <v>1.99</v>
      </c>
      <c r="G18" s="6">
        <v>2.15</v>
      </c>
    </row>
    <row r="19" spans="1:7" x14ac:dyDescent="0.35">
      <c r="A19" s="5" t="s">
        <v>17</v>
      </c>
      <c r="B19" s="6">
        <v>3.88</v>
      </c>
      <c r="C19" s="6">
        <v>12.08</v>
      </c>
      <c r="D19" s="6">
        <v>13.42</v>
      </c>
      <c r="E19" s="6">
        <v>3.33</v>
      </c>
      <c r="F19" s="6">
        <v>4.42</v>
      </c>
      <c r="G19" s="6">
        <v>2.5299999999999998</v>
      </c>
    </row>
    <row r="20" spans="1:7" x14ac:dyDescent="0.35">
      <c r="A20" s="5" t="s">
        <v>18</v>
      </c>
      <c r="B20" s="6">
        <v>1.82</v>
      </c>
      <c r="C20" s="6">
        <v>10.49</v>
      </c>
      <c r="D20" s="6">
        <v>11.88</v>
      </c>
      <c r="E20" s="6">
        <v>2.91</v>
      </c>
      <c r="F20" s="6">
        <v>3.11</v>
      </c>
      <c r="G20" s="6">
        <v>1.7</v>
      </c>
    </row>
    <row r="21" spans="1:7" x14ac:dyDescent="0.35">
      <c r="A21" s="5" t="s">
        <v>19</v>
      </c>
      <c r="B21" s="6">
        <v>4.79</v>
      </c>
      <c r="C21" s="6">
        <v>10.130000000000001</v>
      </c>
      <c r="D21" s="6">
        <v>13.67</v>
      </c>
      <c r="E21" s="6">
        <v>7.45</v>
      </c>
      <c r="F21" s="6">
        <v>3.25</v>
      </c>
      <c r="G21" s="6">
        <v>2.06</v>
      </c>
    </row>
    <row r="22" spans="1:7" x14ac:dyDescent="0.35">
      <c r="A22" s="5" t="s">
        <v>20</v>
      </c>
      <c r="B22" s="6">
        <v>3.73</v>
      </c>
      <c r="C22" s="6">
        <v>10.18</v>
      </c>
      <c r="D22" s="6">
        <v>11.73</v>
      </c>
      <c r="E22" s="6">
        <v>1.37</v>
      </c>
      <c r="F22" s="6">
        <v>4.09</v>
      </c>
      <c r="G22" s="6">
        <v>0.54</v>
      </c>
    </row>
    <row r="23" spans="1:7" x14ac:dyDescent="0.35">
      <c r="A23" s="5" t="s">
        <v>21</v>
      </c>
      <c r="B23" s="6">
        <v>3.99</v>
      </c>
      <c r="C23" s="6">
        <v>10.51</v>
      </c>
      <c r="D23" s="6">
        <v>12.36</v>
      </c>
      <c r="E23" s="6">
        <v>2.58</v>
      </c>
      <c r="F23" s="6">
        <v>4.03</v>
      </c>
      <c r="G23" s="6">
        <v>1.22</v>
      </c>
    </row>
    <row r="24" spans="1:7" x14ac:dyDescent="0.35">
      <c r="A24" s="5" t="s">
        <v>22</v>
      </c>
      <c r="B24" s="6">
        <v>4.6399999999999997</v>
      </c>
      <c r="C24" s="6">
        <v>9.9600000000000009</v>
      </c>
      <c r="D24" s="6">
        <v>9.94</v>
      </c>
      <c r="E24" s="6">
        <v>3.08</v>
      </c>
      <c r="F24" s="6">
        <v>3.62</v>
      </c>
      <c r="G24" s="6">
        <v>1.67</v>
      </c>
    </row>
    <row r="25" spans="1:7" x14ac:dyDescent="0.35">
      <c r="A25" s="5" t="s">
        <v>23</v>
      </c>
      <c r="B25" s="6">
        <v>3.71</v>
      </c>
      <c r="C25" s="6">
        <v>10.36</v>
      </c>
      <c r="D25" s="6">
        <v>12.5</v>
      </c>
      <c r="E25" s="6">
        <v>0.46</v>
      </c>
      <c r="F25" s="6">
        <v>2.08</v>
      </c>
      <c r="G25" s="6">
        <v>1.59</v>
      </c>
    </row>
    <row r="26" spans="1:7" x14ac:dyDescent="0.35">
      <c r="A26" s="5" t="s">
        <v>24</v>
      </c>
      <c r="B26" s="6">
        <v>3.83</v>
      </c>
      <c r="C26" s="6">
        <v>10.17</v>
      </c>
      <c r="D26" s="6">
        <v>11.82</v>
      </c>
      <c r="E26" s="6">
        <v>0.77</v>
      </c>
      <c r="F26" s="6">
        <v>3.35</v>
      </c>
      <c r="G26" s="6">
        <v>1.59</v>
      </c>
    </row>
    <row r="27" spans="1:7" x14ac:dyDescent="0.35">
      <c r="A27" s="5" t="s">
        <v>25</v>
      </c>
      <c r="B27" s="6">
        <v>2.16</v>
      </c>
      <c r="C27" s="6">
        <v>9.23</v>
      </c>
      <c r="D27" s="6">
        <v>4.83</v>
      </c>
      <c r="E27" s="6">
        <v>2.83</v>
      </c>
      <c r="F27" s="6">
        <v>1.62</v>
      </c>
      <c r="G27" s="6">
        <v>1.62</v>
      </c>
    </row>
    <row r="28" spans="1:7" x14ac:dyDescent="0.35">
      <c r="A28" s="5" t="s">
        <v>26</v>
      </c>
      <c r="B28" s="6">
        <v>3.35</v>
      </c>
      <c r="C28" s="6">
        <v>9.76</v>
      </c>
      <c r="D28" s="6">
        <v>11.1</v>
      </c>
      <c r="E28" s="6">
        <v>0.87</v>
      </c>
      <c r="F28" s="6">
        <v>3.37</v>
      </c>
      <c r="G28" s="6">
        <v>0.86</v>
      </c>
    </row>
    <row r="29" spans="1:7" x14ac:dyDescent="0.35">
      <c r="A29" s="5" t="s">
        <v>27</v>
      </c>
      <c r="B29" s="6">
        <v>3.04</v>
      </c>
      <c r="C29" s="6">
        <v>9.81</v>
      </c>
      <c r="D29" s="6">
        <v>9.6999999999999993</v>
      </c>
      <c r="E29" s="6">
        <v>1</v>
      </c>
      <c r="F29" s="6">
        <v>2.21</v>
      </c>
      <c r="G29" s="6">
        <v>2.21</v>
      </c>
    </row>
    <row r="30" spans="1:7" x14ac:dyDescent="0.35">
      <c r="A30" s="5" t="s">
        <v>28</v>
      </c>
      <c r="B30" s="6">
        <v>5.52</v>
      </c>
      <c r="C30" s="6">
        <v>13.75</v>
      </c>
      <c r="D30" s="6">
        <v>12.67</v>
      </c>
      <c r="E30" s="6">
        <v>4.0599999999999996</v>
      </c>
      <c r="F30" s="6">
        <v>2.99</v>
      </c>
      <c r="G30" s="6">
        <v>1.17</v>
      </c>
    </row>
    <row r="31" spans="1:7" x14ac:dyDescent="0.35">
      <c r="A31" s="5" t="s">
        <v>29</v>
      </c>
      <c r="B31" s="6">
        <v>0</v>
      </c>
      <c r="C31" s="6">
        <v>0</v>
      </c>
      <c r="D31" s="6">
        <v>0</v>
      </c>
      <c r="E31" s="6">
        <v>0</v>
      </c>
      <c r="F31" s="6">
        <v>4.0999999999999996</v>
      </c>
      <c r="G31" s="6">
        <v>1.2</v>
      </c>
    </row>
    <row r="32" spans="1:7" x14ac:dyDescent="0.35">
      <c r="A32" s="5" t="s">
        <v>30</v>
      </c>
      <c r="B32" s="6">
        <v>0</v>
      </c>
      <c r="C32" s="6">
        <v>8.17</v>
      </c>
      <c r="D32" s="6">
        <v>6.85</v>
      </c>
      <c r="E32" s="6">
        <v>3.69</v>
      </c>
      <c r="F32" s="6">
        <v>2.74</v>
      </c>
      <c r="G32" s="6">
        <v>0.44</v>
      </c>
    </row>
    <row r="33" spans="1:7" x14ac:dyDescent="0.35">
      <c r="A33" s="5" t="s">
        <v>31</v>
      </c>
      <c r="B33" s="6">
        <v>3.55</v>
      </c>
      <c r="C33" s="6">
        <v>10.08</v>
      </c>
      <c r="D33" s="6">
        <v>8.3699999999999992</v>
      </c>
      <c r="E33" s="6">
        <v>2.39</v>
      </c>
      <c r="F33" s="6">
        <v>3.23</v>
      </c>
      <c r="G33" s="6">
        <v>0.76</v>
      </c>
    </row>
    <row r="34" spans="1:7" x14ac:dyDescent="0.35">
      <c r="A34" s="5" t="s">
        <v>32</v>
      </c>
      <c r="B34" s="6">
        <v>3.68</v>
      </c>
      <c r="C34" s="6">
        <v>10.08</v>
      </c>
      <c r="D34" s="6">
        <v>10.57</v>
      </c>
      <c r="E34" s="6">
        <v>0.55000000000000004</v>
      </c>
      <c r="F34" s="6">
        <v>3.6</v>
      </c>
      <c r="G34" s="6">
        <v>1.3</v>
      </c>
    </row>
    <row r="35" spans="1:7" x14ac:dyDescent="0.35">
      <c r="A35" s="5" t="s">
        <v>33</v>
      </c>
      <c r="B35" s="6">
        <v>1.43</v>
      </c>
      <c r="C35" s="6">
        <v>7.33</v>
      </c>
      <c r="D35" s="6">
        <v>18.190000000000001</v>
      </c>
      <c r="E35" s="6">
        <v>0.82</v>
      </c>
      <c r="F35" s="6">
        <v>0.9</v>
      </c>
      <c r="G35" s="6">
        <v>2.21</v>
      </c>
    </row>
    <row r="36" spans="1:7" x14ac:dyDescent="0.35">
      <c r="A36" s="5" t="s">
        <v>34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1.55</v>
      </c>
    </row>
    <row r="37" spans="1:7" x14ac:dyDescent="0.35">
      <c r="A37" s="5" t="s">
        <v>35</v>
      </c>
      <c r="B37" s="6">
        <v>4.6500000000000004</v>
      </c>
      <c r="C37" s="6">
        <v>11.09</v>
      </c>
      <c r="D37" s="6">
        <v>12.11</v>
      </c>
      <c r="E37" s="6">
        <v>2.78</v>
      </c>
      <c r="F37" s="6">
        <v>4.5199999999999996</v>
      </c>
      <c r="G37" s="6">
        <v>1.69</v>
      </c>
    </row>
    <row r="38" spans="1:7" x14ac:dyDescent="0.35">
      <c r="A38" s="5" t="s">
        <v>36</v>
      </c>
      <c r="B38" s="6">
        <v>0</v>
      </c>
      <c r="C38" s="6">
        <v>11.89</v>
      </c>
      <c r="D38" s="6">
        <v>10.38</v>
      </c>
      <c r="E38" s="6">
        <v>2.67</v>
      </c>
      <c r="F38" s="6">
        <v>1.19</v>
      </c>
      <c r="G38" s="6">
        <v>0.87</v>
      </c>
    </row>
    <row r="39" spans="1:7" x14ac:dyDescent="0.35">
      <c r="A39" s="5" t="s">
        <v>37</v>
      </c>
      <c r="B39" s="6">
        <v>4.3</v>
      </c>
      <c r="C39" s="6">
        <v>11.47</v>
      </c>
      <c r="D39" s="6">
        <v>11.48</v>
      </c>
      <c r="E39" s="6">
        <v>2.16</v>
      </c>
      <c r="F39" s="6">
        <v>4.3899999999999997</v>
      </c>
      <c r="G39" s="6">
        <v>1.3</v>
      </c>
    </row>
    <row r="40" spans="1:7" x14ac:dyDescent="0.35">
      <c r="A40" s="5" t="s">
        <v>38</v>
      </c>
      <c r="B40" s="6">
        <v>3.27</v>
      </c>
      <c r="C40" s="6">
        <v>10.39</v>
      </c>
      <c r="D40" s="6">
        <v>12.7</v>
      </c>
      <c r="E40" s="6">
        <v>1.34</v>
      </c>
      <c r="F40" s="6">
        <v>3.65</v>
      </c>
      <c r="G40" s="6">
        <v>0.6</v>
      </c>
    </row>
    <row r="41" spans="1:7" x14ac:dyDescent="0.35">
      <c r="A41" s="5" t="s">
        <v>39</v>
      </c>
      <c r="B41" s="6">
        <v>1.66</v>
      </c>
      <c r="C41" s="6">
        <v>8.27</v>
      </c>
      <c r="D41" s="6">
        <v>30.24</v>
      </c>
      <c r="E41" s="6">
        <v>1.1000000000000001</v>
      </c>
      <c r="F41" s="6">
        <v>1.35</v>
      </c>
      <c r="G41" s="6">
        <v>0.67</v>
      </c>
    </row>
    <row r="42" spans="1:7" x14ac:dyDescent="0.35">
      <c r="A42" s="5" t="s">
        <v>40</v>
      </c>
      <c r="B42" s="6">
        <v>4.5</v>
      </c>
      <c r="C42" s="6">
        <v>6.41</v>
      </c>
      <c r="D42" s="6">
        <v>12.07</v>
      </c>
      <c r="E42" s="6">
        <v>3.13</v>
      </c>
      <c r="F42" s="6">
        <v>2.75</v>
      </c>
      <c r="G42" s="6">
        <v>1.3</v>
      </c>
    </row>
    <row r="43" spans="1:7" x14ac:dyDescent="0.35">
      <c r="A43" s="5" t="s">
        <v>41</v>
      </c>
      <c r="B43" s="6">
        <v>0.21</v>
      </c>
      <c r="C43" s="6">
        <v>8.0500000000000007</v>
      </c>
      <c r="D43" s="6">
        <v>13.64</v>
      </c>
      <c r="E43" s="6">
        <v>1.48</v>
      </c>
      <c r="F43" s="6">
        <v>1.88</v>
      </c>
      <c r="G43" s="6">
        <v>1.28</v>
      </c>
    </row>
    <row r="44" spans="1:7" x14ac:dyDescent="0.35">
      <c r="A44" s="5" t="s">
        <v>42</v>
      </c>
      <c r="B44" s="6">
        <v>0</v>
      </c>
      <c r="C44" s="6">
        <v>4.0999999999999996</v>
      </c>
      <c r="D44" s="6">
        <v>7.83</v>
      </c>
      <c r="E44" s="6">
        <v>6.04</v>
      </c>
      <c r="F44" s="6">
        <v>5.26</v>
      </c>
      <c r="G44" s="6">
        <v>0.63</v>
      </c>
    </row>
    <row r="45" spans="1:7" x14ac:dyDescent="0.35">
      <c r="A45" s="5" t="s">
        <v>43</v>
      </c>
      <c r="B45" s="6">
        <v>9.6300000000000008</v>
      </c>
      <c r="C45" s="6">
        <v>10.28</v>
      </c>
      <c r="D45" s="6">
        <v>11.35</v>
      </c>
      <c r="E45" s="6">
        <v>5.12</v>
      </c>
      <c r="F45" s="6">
        <v>4.6399999999999997</v>
      </c>
      <c r="G45" s="6">
        <v>1.5</v>
      </c>
    </row>
    <row r="46" spans="1:7" x14ac:dyDescent="0.35">
      <c r="A46" s="5" t="s">
        <v>44</v>
      </c>
      <c r="B46" s="6">
        <v>2.6</v>
      </c>
      <c r="C46" s="6">
        <v>5.83</v>
      </c>
      <c r="D46" s="6">
        <v>14.28</v>
      </c>
      <c r="E46" s="6">
        <v>2.21</v>
      </c>
      <c r="F46" s="6">
        <v>1.36</v>
      </c>
      <c r="G46" s="6">
        <v>2.95</v>
      </c>
    </row>
    <row r="47" spans="1:7" x14ac:dyDescent="0.35">
      <c r="A47" s="5" t="s">
        <v>45</v>
      </c>
      <c r="B47" s="6">
        <v>2.5099999999999998</v>
      </c>
      <c r="C47" s="6">
        <v>10.19</v>
      </c>
      <c r="D47" s="6">
        <v>10.93</v>
      </c>
      <c r="E47" s="6">
        <v>3.33</v>
      </c>
      <c r="F47" s="6">
        <v>4.37</v>
      </c>
      <c r="G47" s="6">
        <v>0.56000000000000005</v>
      </c>
    </row>
    <row r="48" spans="1:7" x14ac:dyDescent="0.35">
      <c r="A48" s="5" t="s">
        <v>46</v>
      </c>
      <c r="B48" s="6">
        <v>3.43</v>
      </c>
      <c r="C48" s="6">
        <v>9.76</v>
      </c>
      <c r="D48" s="6">
        <v>10.58</v>
      </c>
      <c r="E48" s="6">
        <v>2.3199999999999998</v>
      </c>
      <c r="F48" s="6">
        <v>2.7</v>
      </c>
      <c r="G48" s="6">
        <v>2.3199999999999998</v>
      </c>
    </row>
    <row r="49" spans="1:7" x14ac:dyDescent="0.35">
      <c r="A49" s="5" t="s">
        <v>47</v>
      </c>
      <c r="B49" s="6">
        <v>3.04</v>
      </c>
      <c r="C49" s="6">
        <v>13.74</v>
      </c>
      <c r="D49" s="6">
        <v>10.85</v>
      </c>
      <c r="E49" s="6">
        <v>0.66</v>
      </c>
      <c r="F49" s="6">
        <v>3.09</v>
      </c>
      <c r="G49" s="6">
        <v>1.29</v>
      </c>
    </row>
    <row r="50" spans="1:7" x14ac:dyDescent="0.35">
      <c r="A50" s="5" t="s">
        <v>48</v>
      </c>
      <c r="B50" s="6">
        <v>2.73</v>
      </c>
      <c r="C50" s="6">
        <v>13.44</v>
      </c>
      <c r="D50" s="6">
        <v>12.18</v>
      </c>
      <c r="E50" s="6">
        <v>1.24</v>
      </c>
      <c r="F50" s="6">
        <v>1.56</v>
      </c>
      <c r="G50" s="6">
        <v>0.34</v>
      </c>
    </row>
    <row r="51" spans="1:7" x14ac:dyDescent="0.35">
      <c r="A51" s="5" t="s">
        <v>49</v>
      </c>
      <c r="B51" s="6">
        <v>3.52</v>
      </c>
      <c r="C51" s="6">
        <v>11.58</v>
      </c>
      <c r="D51" s="6">
        <v>19.170000000000002</v>
      </c>
      <c r="E51" s="6">
        <v>1.9</v>
      </c>
      <c r="F51" s="6">
        <v>4.9000000000000004</v>
      </c>
      <c r="G51" s="6">
        <v>1.06</v>
      </c>
    </row>
    <row r="52" spans="1:7" x14ac:dyDescent="0.35">
      <c r="A52" s="5" t="s">
        <v>50</v>
      </c>
      <c r="B52" s="6">
        <v>2.02</v>
      </c>
      <c r="C52" s="6">
        <v>9.69</v>
      </c>
      <c r="D52" s="6">
        <v>6.55</v>
      </c>
      <c r="E52" s="6">
        <v>4.18</v>
      </c>
      <c r="F52" s="6">
        <v>2.76</v>
      </c>
      <c r="G52" s="6">
        <v>1.1200000000000001</v>
      </c>
    </row>
    <row r="53" spans="1:7" x14ac:dyDescent="0.35">
      <c r="A53" s="5" t="s">
        <v>51</v>
      </c>
      <c r="B53" s="6">
        <v>2.88</v>
      </c>
      <c r="C53" s="6">
        <v>11.25</v>
      </c>
      <c r="D53" s="6">
        <v>12.42</v>
      </c>
      <c r="E53" s="6">
        <v>1.84</v>
      </c>
      <c r="F53" s="6">
        <v>3.81</v>
      </c>
      <c r="G53" s="6">
        <v>1.68</v>
      </c>
    </row>
    <row r="54" spans="1:7" x14ac:dyDescent="0.35">
      <c r="A54" s="5" t="s">
        <v>52</v>
      </c>
      <c r="B54" s="6">
        <v>2.1</v>
      </c>
      <c r="C54" s="6">
        <v>9.9700000000000006</v>
      </c>
      <c r="D54" s="6">
        <v>17.22</v>
      </c>
      <c r="E54" s="6">
        <v>3.07</v>
      </c>
      <c r="F54" s="6">
        <v>4.55</v>
      </c>
      <c r="G54" s="6">
        <v>1.31</v>
      </c>
    </row>
    <row r="55" spans="1:7" x14ac:dyDescent="0.35">
      <c r="A55" s="5" t="s">
        <v>53</v>
      </c>
      <c r="B55" s="6">
        <v>2.04</v>
      </c>
      <c r="C55" s="6">
        <v>5.86</v>
      </c>
      <c r="D55" s="6">
        <v>8</v>
      </c>
      <c r="E55" s="6">
        <v>6.45</v>
      </c>
      <c r="F55" s="6">
        <v>2.59</v>
      </c>
      <c r="G55" s="6">
        <v>1.04</v>
      </c>
    </row>
    <row r="56" spans="1:7" x14ac:dyDescent="0.35">
      <c r="A56" s="5" t="s">
        <v>54</v>
      </c>
      <c r="B56" s="6">
        <v>1.19</v>
      </c>
      <c r="C56" s="6">
        <v>8.8800000000000008</v>
      </c>
      <c r="D56" s="6">
        <v>14.9</v>
      </c>
      <c r="E56" s="6">
        <v>1.43</v>
      </c>
      <c r="F56" s="6">
        <v>4.96</v>
      </c>
      <c r="G56" s="6">
        <v>1.98</v>
      </c>
    </row>
    <row r="57" spans="1:7" x14ac:dyDescent="0.35">
      <c r="A57" s="5" t="s">
        <v>55</v>
      </c>
      <c r="B57" s="6">
        <v>2.37</v>
      </c>
      <c r="C57" s="6">
        <v>10.01</v>
      </c>
      <c r="D57" s="6">
        <v>8.86</v>
      </c>
      <c r="E57" s="6">
        <v>1.1499999999999999</v>
      </c>
      <c r="F57" s="6">
        <v>1.89</v>
      </c>
      <c r="G57" s="6">
        <v>1.1100000000000001</v>
      </c>
    </row>
    <row r="58" spans="1:7" x14ac:dyDescent="0.35">
      <c r="A58" s="5" t="s">
        <v>56</v>
      </c>
      <c r="B58" s="6">
        <v>1.73</v>
      </c>
      <c r="C58" s="6">
        <v>7.33</v>
      </c>
      <c r="D58" s="6">
        <v>9.3800000000000008</v>
      </c>
      <c r="E58" s="6">
        <v>1.06</v>
      </c>
      <c r="F58" s="6">
        <v>1.5</v>
      </c>
      <c r="G58" s="6">
        <v>2.4700000000000002</v>
      </c>
    </row>
    <row r="59" spans="1:7" x14ac:dyDescent="0.35">
      <c r="A59" s="5" t="s">
        <v>57</v>
      </c>
      <c r="B59" s="6">
        <v>3.13</v>
      </c>
      <c r="C59" s="6">
        <v>9.5299999999999994</v>
      </c>
      <c r="D59" s="6">
        <v>6.45</v>
      </c>
      <c r="E59" s="6">
        <v>2.94</v>
      </c>
      <c r="F59" s="6">
        <v>3.33</v>
      </c>
      <c r="G59" s="6">
        <v>1.0900000000000001</v>
      </c>
    </row>
    <row r="60" spans="1:7" x14ac:dyDescent="0.35">
      <c r="A60" s="5" t="s">
        <v>58</v>
      </c>
      <c r="B60" s="6">
        <v>0.68</v>
      </c>
      <c r="C60" s="6">
        <v>7.86</v>
      </c>
      <c r="D60" s="6">
        <v>15</v>
      </c>
      <c r="E60" s="6">
        <v>1.56</v>
      </c>
      <c r="F60" s="6">
        <v>1.47</v>
      </c>
      <c r="G60" s="6">
        <v>1.94</v>
      </c>
    </row>
    <row r="61" spans="1:7" x14ac:dyDescent="0.35">
      <c r="A61" s="5" t="s">
        <v>59</v>
      </c>
      <c r="B61" s="6">
        <v>4.4000000000000004</v>
      </c>
      <c r="C61" s="6">
        <v>10.65</v>
      </c>
      <c r="D61" s="6">
        <v>9.07</v>
      </c>
      <c r="E61" s="6">
        <v>2.35</v>
      </c>
      <c r="F61" s="6">
        <v>6.41</v>
      </c>
      <c r="G61" s="6">
        <v>2.23</v>
      </c>
    </row>
    <row r="62" spans="1:7" x14ac:dyDescent="0.35">
      <c r="A62" s="5" t="s">
        <v>60</v>
      </c>
      <c r="B62" s="6">
        <v>2.25</v>
      </c>
      <c r="C62" s="6">
        <v>9.58</v>
      </c>
      <c r="D62" s="6">
        <v>7.72</v>
      </c>
      <c r="E62" s="6">
        <v>2.48</v>
      </c>
      <c r="F62" s="6">
        <v>3.43</v>
      </c>
      <c r="G62" s="6">
        <v>0.8</v>
      </c>
    </row>
    <row r="63" spans="1:7" x14ac:dyDescent="0.35">
      <c r="A63" s="5" t="s">
        <v>61</v>
      </c>
      <c r="B63" s="6">
        <v>0.32</v>
      </c>
      <c r="C63" s="6">
        <v>6.43</v>
      </c>
      <c r="D63" s="6">
        <v>14.01</v>
      </c>
      <c r="E63" s="6">
        <v>4.28</v>
      </c>
      <c r="F63" s="6">
        <v>1.7</v>
      </c>
      <c r="G63" s="6">
        <v>2.75</v>
      </c>
    </row>
    <row r="64" spans="1:7" x14ac:dyDescent="0.35">
      <c r="A64" s="5" t="s">
        <v>62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5.84</v>
      </c>
    </row>
    <row r="65" spans="1:7" x14ac:dyDescent="0.35">
      <c r="A65" s="5" t="s">
        <v>63</v>
      </c>
      <c r="B65" s="6">
        <v>3.59</v>
      </c>
      <c r="C65" s="6">
        <v>10.9</v>
      </c>
      <c r="D65" s="6">
        <v>13.22</v>
      </c>
      <c r="E65" s="6">
        <v>3.37</v>
      </c>
      <c r="F65" s="6">
        <v>4.17</v>
      </c>
      <c r="G65" s="6">
        <v>0.77</v>
      </c>
    </row>
    <row r="66" spans="1:7" x14ac:dyDescent="0.35">
      <c r="A66" s="5" t="s">
        <v>64</v>
      </c>
      <c r="B66" s="6">
        <v>3.66</v>
      </c>
      <c r="C66" s="6">
        <v>9.5399999999999991</v>
      </c>
      <c r="D66" s="6">
        <v>10.09</v>
      </c>
      <c r="E66" s="6">
        <v>0.62</v>
      </c>
      <c r="F66" s="6">
        <v>2.0499999999999998</v>
      </c>
      <c r="G66" s="6">
        <v>0</v>
      </c>
    </row>
    <row r="67" spans="1:7" x14ac:dyDescent="0.35">
      <c r="A67" s="5" t="s">
        <v>65</v>
      </c>
      <c r="B67" s="6">
        <v>2.02</v>
      </c>
      <c r="C67" s="6">
        <v>9.51</v>
      </c>
      <c r="D67" s="6">
        <v>9.75</v>
      </c>
      <c r="E67" s="6">
        <v>2.1</v>
      </c>
      <c r="F67" s="6">
        <v>1.18</v>
      </c>
      <c r="G67" s="6">
        <v>1.53</v>
      </c>
    </row>
    <row r="68" spans="1:7" x14ac:dyDescent="0.35">
      <c r="A68" s="5" t="s">
        <v>66</v>
      </c>
      <c r="B68" s="6">
        <v>1.19</v>
      </c>
      <c r="C68" s="6">
        <v>8.8800000000000008</v>
      </c>
      <c r="D68" s="6">
        <v>14.9</v>
      </c>
      <c r="E68" s="6">
        <v>1.43</v>
      </c>
      <c r="F68" s="6">
        <v>4.96</v>
      </c>
      <c r="G68" s="6">
        <v>5.87</v>
      </c>
    </row>
    <row r="69" spans="1:7" x14ac:dyDescent="0.35">
      <c r="A69" s="5" t="s">
        <v>67</v>
      </c>
      <c r="B69" s="6">
        <v>1.77</v>
      </c>
      <c r="C69" s="6">
        <v>10.02</v>
      </c>
      <c r="D69" s="6">
        <v>14.57</v>
      </c>
      <c r="E69" s="6">
        <v>1.96</v>
      </c>
      <c r="F69" s="6">
        <v>2.71</v>
      </c>
      <c r="G69" s="6">
        <v>2.2599999999999998</v>
      </c>
    </row>
    <row r="70" spans="1:7" x14ac:dyDescent="0.35">
      <c r="A70" s="5" t="s">
        <v>68</v>
      </c>
      <c r="B70" s="6">
        <v>5.32</v>
      </c>
      <c r="C70" s="6">
        <v>11.45</v>
      </c>
      <c r="D70" s="6">
        <v>8.81</v>
      </c>
      <c r="E70" s="6">
        <v>1.58</v>
      </c>
      <c r="F70" s="6">
        <v>3.72</v>
      </c>
      <c r="G70" s="6">
        <v>3.13</v>
      </c>
    </row>
    <row r="71" spans="1:7" x14ac:dyDescent="0.35">
      <c r="A71" s="5" t="s">
        <v>69</v>
      </c>
      <c r="B71" s="6">
        <v>3.8</v>
      </c>
      <c r="C71" s="6">
        <v>9.31</v>
      </c>
      <c r="D71" s="6">
        <v>10.55</v>
      </c>
      <c r="E71" s="6">
        <v>2.14</v>
      </c>
      <c r="F71" s="6">
        <v>2.35</v>
      </c>
      <c r="G71" s="6">
        <v>1.9</v>
      </c>
    </row>
    <row r="72" spans="1:7" x14ac:dyDescent="0.35">
      <c r="A72" s="5" t="s">
        <v>70</v>
      </c>
      <c r="B72" s="6">
        <v>3.92</v>
      </c>
      <c r="C72" s="6">
        <v>10.71</v>
      </c>
      <c r="D72" s="6">
        <v>14.6</v>
      </c>
      <c r="E72" s="6">
        <v>2.34</v>
      </c>
      <c r="F72" s="6">
        <v>2.88</v>
      </c>
      <c r="G72" s="6">
        <v>2.52</v>
      </c>
    </row>
    <row r="73" spans="1:7" x14ac:dyDescent="0.35">
      <c r="A73" s="5" t="s">
        <v>71</v>
      </c>
      <c r="B73" s="6">
        <v>3.73</v>
      </c>
      <c r="C73" s="6">
        <v>9.91</v>
      </c>
      <c r="D73" s="6">
        <v>7.15</v>
      </c>
      <c r="E73" s="6">
        <v>3.28</v>
      </c>
      <c r="F73" s="6">
        <v>2.93</v>
      </c>
      <c r="G73" s="6">
        <v>1.52</v>
      </c>
    </row>
    <row r="74" spans="1:7" x14ac:dyDescent="0.35">
      <c r="A74" s="5" t="s">
        <v>72</v>
      </c>
      <c r="B74" s="6">
        <v>1.44</v>
      </c>
      <c r="C74" s="6">
        <v>6.15</v>
      </c>
      <c r="D74" s="6">
        <v>10.73</v>
      </c>
      <c r="E74" s="6">
        <v>0.22</v>
      </c>
      <c r="F74" s="6">
        <v>1.43</v>
      </c>
      <c r="G74" s="6">
        <v>0</v>
      </c>
    </row>
    <row r="75" spans="1:7" x14ac:dyDescent="0.35">
      <c r="A75" s="5" t="s">
        <v>73</v>
      </c>
      <c r="B75" s="6">
        <v>4.5999999999999996</v>
      </c>
      <c r="C75" s="6">
        <v>11.03</v>
      </c>
      <c r="D75" s="6">
        <v>15.62</v>
      </c>
      <c r="E75" s="6">
        <v>3.97</v>
      </c>
      <c r="F75" s="6">
        <v>3.81</v>
      </c>
      <c r="G75" s="6">
        <v>0.82</v>
      </c>
    </row>
    <row r="76" spans="1:7" x14ac:dyDescent="0.35">
      <c r="A76" s="5" t="s">
        <v>74</v>
      </c>
      <c r="B76" s="6">
        <v>4.18</v>
      </c>
      <c r="C76" s="6">
        <v>12.8</v>
      </c>
      <c r="D76" s="6">
        <v>11.26</v>
      </c>
      <c r="E76" s="6">
        <v>1.75</v>
      </c>
      <c r="F76" s="6">
        <v>4.16</v>
      </c>
      <c r="G76" s="6">
        <v>1.05</v>
      </c>
    </row>
    <row r="77" spans="1:7" x14ac:dyDescent="0.35">
      <c r="A77" s="5" t="s">
        <v>75</v>
      </c>
      <c r="B77" s="6">
        <v>5.66</v>
      </c>
      <c r="C77" s="6">
        <v>6.7</v>
      </c>
      <c r="D77" s="6">
        <v>16.350000000000001</v>
      </c>
      <c r="E77" s="6">
        <v>2.59</v>
      </c>
      <c r="F77" s="6">
        <v>2.58</v>
      </c>
      <c r="G77" s="6">
        <v>0.94</v>
      </c>
    </row>
    <row r="78" spans="1:7" x14ac:dyDescent="0.35">
      <c r="A78" s="5" t="s">
        <v>76</v>
      </c>
      <c r="B78" s="6">
        <v>1.91</v>
      </c>
      <c r="C78" s="6">
        <v>8</v>
      </c>
      <c r="D78" s="6">
        <v>8.6999999999999993</v>
      </c>
      <c r="E78" s="6">
        <v>3.87</v>
      </c>
      <c r="F78" s="6">
        <v>1.75</v>
      </c>
      <c r="G78" s="6">
        <v>0.64</v>
      </c>
    </row>
    <row r="79" spans="1:7" x14ac:dyDescent="0.35">
      <c r="A79" s="5" t="s">
        <v>77</v>
      </c>
      <c r="B79" s="6">
        <v>3.95</v>
      </c>
      <c r="C79" s="6">
        <v>11.27</v>
      </c>
      <c r="D79" s="6">
        <v>12.24</v>
      </c>
      <c r="E79" s="6">
        <v>5.23</v>
      </c>
      <c r="F79" s="6">
        <v>4.03</v>
      </c>
      <c r="G79" s="6">
        <v>1.1499999999999999</v>
      </c>
    </row>
    <row r="80" spans="1:7" x14ac:dyDescent="0.35">
      <c r="A80" s="5" t="s">
        <v>78</v>
      </c>
      <c r="B80" s="6">
        <v>3.9</v>
      </c>
      <c r="C80" s="6">
        <v>11.17</v>
      </c>
      <c r="D80" s="6">
        <v>8.2200000000000006</v>
      </c>
      <c r="E80" s="6">
        <v>2.42</v>
      </c>
      <c r="F80" s="6">
        <v>3.14</v>
      </c>
      <c r="G80" s="6">
        <v>1.61</v>
      </c>
    </row>
    <row r="81" spans="1:7" x14ac:dyDescent="0.35">
      <c r="A81" s="5" t="s">
        <v>79</v>
      </c>
      <c r="B81" s="6">
        <v>3.2</v>
      </c>
      <c r="C81" s="6">
        <v>10.87</v>
      </c>
      <c r="D81" s="6">
        <v>11.15</v>
      </c>
      <c r="E81" s="6">
        <v>2.4700000000000002</v>
      </c>
      <c r="F81" s="6">
        <v>4.9400000000000004</v>
      </c>
      <c r="G81" s="6">
        <v>1.8</v>
      </c>
    </row>
    <row r="82" spans="1:7" x14ac:dyDescent="0.35">
      <c r="A82" s="5" t="s">
        <v>80</v>
      </c>
      <c r="B82" s="6">
        <v>2.76</v>
      </c>
      <c r="C82" s="6">
        <v>9.49</v>
      </c>
      <c r="D82" s="6">
        <v>9.35</v>
      </c>
      <c r="E82" s="6">
        <v>3.37</v>
      </c>
      <c r="F82" s="6">
        <v>3.45</v>
      </c>
      <c r="G82" s="6">
        <v>0.53</v>
      </c>
    </row>
    <row r="83" spans="1:7" x14ac:dyDescent="0.35">
      <c r="A83" s="5" t="s">
        <v>81</v>
      </c>
      <c r="B83" s="6">
        <v>17.100000000000001</v>
      </c>
      <c r="C83" s="6">
        <v>9.83</v>
      </c>
      <c r="D83" s="6">
        <v>12.29</v>
      </c>
      <c r="E83" s="6">
        <v>5.09</v>
      </c>
      <c r="F83" s="6">
        <v>1.61</v>
      </c>
      <c r="G83" s="6">
        <v>2.77</v>
      </c>
    </row>
    <row r="84" spans="1:7" x14ac:dyDescent="0.35">
      <c r="A84" s="5" t="s">
        <v>82</v>
      </c>
      <c r="B84" s="6">
        <v>2.29</v>
      </c>
      <c r="C84" s="6">
        <v>9.84</v>
      </c>
      <c r="D84" s="6">
        <v>12.49</v>
      </c>
      <c r="E84" s="6">
        <v>1.63</v>
      </c>
      <c r="F84" s="6">
        <v>3.2</v>
      </c>
      <c r="G84" s="6">
        <v>1.08</v>
      </c>
    </row>
    <row r="85" spans="1:7" x14ac:dyDescent="0.35">
      <c r="A85" s="5" t="s">
        <v>83</v>
      </c>
      <c r="B85" s="6">
        <v>4.3</v>
      </c>
      <c r="C85" s="6">
        <v>11.16</v>
      </c>
      <c r="D85" s="6">
        <v>13.94</v>
      </c>
      <c r="E85" s="6">
        <v>1.5</v>
      </c>
      <c r="F85" s="6">
        <v>5.17</v>
      </c>
      <c r="G85" s="6">
        <v>0.95</v>
      </c>
    </row>
    <row r="86" spans="1:7" x14ac:dyDescent="0.35">
      <c r="A86" s="5" t="s">
        <v>84</v>
      </c>
      <c r="B86" s="6">
        <v>3.57</v>
      </c>
      <c r="C86" s="6">
        <v>12.03</v>
      </c>
      <c r="D86" s="6">
        <v>12.4</v>
      </c>
      <c r="E86" s="6">
        <v>1.21</v>
      </c>
      <c r="F86" s="6">
        <v>4.3</v>
      </c>
      <c r="G86" s="6">
        <v>2.12</v>
      </c>
    </row>
    <row r="87" spans="1:7" x14ac:dyDescent="0.35">
      <c r="A87" s="5" t="s">
        <v>85</v>
      </c>
      <c r="B87" s="6">
        <v>0</v>
      </c>
      <c r="C87" s="6">
        <v>9.34</v>
      </c>
      <c r="D87" s="6">
        <v>13.37</v>
      </c>
      <c r="E87" s="6">
        <v>3.56</v>
      </c>
      <c r="F87" s="6">
        <v>2.86</v>
      </c>
      <c r="G87" s="6">
        <v>5.28</v>
      </c>
    </row>
    <row r="88" spans="1:7" x14ac:dyDescent="0.35">
      <c r="A88" s="5" t="s">
        <v>86</v>
      </c>
      <c r="B88" s="6">
        <v>3.21</v>
      </c>
      <c r="C88" s="6">
        <v>6.11</v>
      </c>
      <c r="D88" s="6">
        <v>11.37</v>
      </c>
      <c r="E88" s="6">
        <v>1.2</v>
      </c>
      <c r="F88" s="6">
        <v>2.67</v>
      </c>
      <c r="G88" s="6">
        <v>0.89</v>
      </c>
    </row>
    <row r="89" spans="1:7" x14ac:dyDescent="0.35">
      <c r="A89" s="5" t="s">
        <v>87</v>
      </c>
      <c r="B89" s="6">
        <v>4.05</v>
      </c>
      <c r="C89" s="6">
        <v>9.44</v>
      </c>
      <c r="D89" s="6">
        <v>13.39</v>
      </c>
      <c r="E89" s="6">
        <v>3.26</v>
      </c>
      <c r="F89" s="6">
        <v>2.5099999999999998</v>
      </c>
      <c r="G89" s="6">
        <v>0.89</v>
      </c>
    </row>
    <row r="90" spans="1:7" x14ac:dyDescent="0.35">
      <c r="A90" s="5" t="s">
        <v>88</v>
      </c>
      <c r="B90" s="6">
        <v>3.03</v>
      </c>
      <c r="C90" s="6">
        <v>10.58</v>
      </c>
      <c r="D90" s="6">
        <v>10.63</v>
      </c>
      <c r="E90" s="6">
        <v>1.69</v>
      </c>
      <c r="F90" s="6">
        <v>1.84</v>
      </c>
      <c r="G90" s="6">
        <v>0.9</v>
      </c>
    </row>
    <row r="91" spans="1:7" x14ac:dyDescent="0.35">
      <c r="A91" s="5" t="s">
        <v>89</v>
      </c>
      <c r="B91" s="6">
        <v>2.99</v>
      </c>
      <c r="C91" s="6">
        <v>11.74</v>
      </c>
      <c r="D91" s="6">
        <v>11.92</v>
      </c>
      <c r="E91" s="6">
        <v>2.12</v>
      </c>
      <c r="F91" s="6">
        <v>4.2</v>
      </c>
      <c r="G91" s="6">
        <v>1.95</v>
      </c>
    </row>
    <row r="92" spans="1:7" x14ac:dyDescent="0.35">
      <c r="A92" s="5" t="s">
        <v>90</v>
      </c>
      <c r="B92" s="6">
        <v>5.15</v>
      </c>
      <c r="C92" s="6">
        <v>10.130000000000001</v>
      </c>
      <c r="D92" s="6">
        <v>10.99</v>
      </c>
      <c r="E92" s="6">
        <v>0.77</v>
      </c>
      <c r="F92" s="6">
        <v>3.7</v>
      </c>
      <c r="G92" s="6">
        <v>1.46</v>
      </c>
    </row>
    <row r="93" spans="1:7" x14ac:dyDescent="0.35">
      <c r="A93" s="5" t="s">
        <v>91</v>
      </c>
      <c r="B93" s="6">
        <v>3.03</v>
      </c>
      <c r="C93" s="6">
        <v>9.24</v>
      </c>
      <c r="D93" s="6">
        <v>4.04</v>
      </c>
      <c r="E93" s="6">
        <v>0.73</v>
      </c>
      <c r="F93" s="6">
        <v>1.63</v>
      </c>
      <c r="G93" s="6">
        <v>2.08</v>
      </c>
    </row>
    <row r="94" spans="1:7" x14ac:dyDescent="0.35">
      <c r="A94" s="5" t="s">
        <v>92</v>
      </c>
      <c r="B94" s="6">
        <v>1.99</v>
      </c>
      <c r="C94" s="6">
        <v>17.32</v>
      </c>
      <c r="D94" s="6">
        <v>18.920000000000002</v>
      </c>
      <c r="E94" s="6">
        <v>3.34</v>
      </c>
      <c r="F94" s="6">
        <v>3.64</v>
      </c>
      <c r="G94" s="6">
        <v>1.37</v>
      </c>
    </row>
    <row r="95" spans="1:7" x14ac:dyDescent="0.35">
      <c r="A95" s="5" t="s">
        <v>93</v>
      </c>
      <c r="B95" s="6">
        <v>1.99</v>
      </c>
      <c r="C95" s="6">
        <v>17.32</v>
      </c>
      <c r="D95" s="6">
        <v>18.920000000000002</v>
      </c>
      <c r="E95" s="6">
        <v>3.34</v>
      </c>
      <c r="F95" s="6">
        <v>3.64</v>
      </c>
      <c r="G95" s="6">
        <v>2.25</v>
      </c>
    </row>
    <row r="96" spans="1:7" x14ac:dyDescent="0.35">
      <c r="A96" s="5" t="s">
        <v>94</v>
      </c>
      <c r="B96" s="6">
        <v>2.15</v>
      </c>
      <c r="C96" s="6">
        <v>8.44</v>
      </c>
      <c r="D96" s="6">
        <v>7.74</v>
      </c>
      <c r="E96" s="6">
        <v>1.1000000000000001</v>
      </c>
      <c r="F96" s="6">
        <v>2.2200000000000002</v>
      </c>
      <c r="G96" s="6">
        <v>0.63</v>
      </c>
    </row>
    <row r="97" spans="1:7" x14ac:dyDescent="0.35">
      <c r="A97" s="5" t="s">
        <v>95</v>
      </c>
      <c r="B97" s="6">
        <v>3.73</v>
      </c>
      <c r="C97" s="6">
        <v>10.08</v>
      </c>
      <c r="D97" s="6">
        <v>11.53</v>
      </c>
      <c r="E97" s="6">
        <v>1.71</v>
      </c>
      <c r="F97" s="6">
        <v>4.12</v>
      </c>
      <c r="G97" s="6">
        <v>0.99</v>
      </c>
    </row>
    <row r="98" spans="1:7" x14ac:dyDescent="0.35">
      <c r="A98" s="5" t="s">
        <v>96</v>
      </c>
      <c r="B98" s="6">
        <v>3.27</v>
      </c>
      <c r="C98" s="6">
        <v>10.39</v>
      </c>
      <c r="D98" s="6">
        <v>12.7</v>
      </c>
      <c r="E98" s="6">
        <v>1.34</v>
      </c>
      <c r="F98" s="6">
        <v>3.65</v>
      </c>
      <c r="G98" s="6">
        <v>0.71</v>
      </c>
    </row>
    <row r="99" spans="1:7" x14ac:dyDescent="0.35">
      <c r="A99" s="5" t="s">
        <v>97</v>
      </c>
      <c r="B99" s="6">
        <v>1.88</v>
      </c>
      <c r="C99" s="6">
        <v>11.56</v>
      </c>
      <c r="D99" s="6">
        <v>10.92</v>
      </c>
      <c r="E99" s="6">
        <v>6.57</v>
      </c>
      <c r="F99" s="6">
        <v>7.78</v>
      </c>
      <c r="G99" s="6">
        <v>2.39</v>
      </c>
    </row>
    <row r="100" spans="1:7" x14ac:dyDescent="0.35">
      <c r="A100" s="5" t="s">
        <v>98</v>
      </c>
      <c r="B100" s="6">
        <v>3.12</v>
      </c>
      <c r="C100" s="6">
        <v>3.74</v>
      </c>
      <c r="D100" s="6">
        <v>9.39</v>
      </c>
      <c r="E100" s="6">
        <v>2.0299999999999998</v>
      </c>
      <c r="F100" s="6">
        <v>0.95</v>
      </c>
      <c r="G100" s="6">
        <v>1.42</v>
      </c>
    </row>
    <row r="101" spans="1:7" x14ac:dyDescent="0.35">
      <c r="A101" s="5" t="s">
        <v>99</v>
      </c>
      <c r="B101" s="6">
        <v>0.48</v>
      </c>
      <c r="C101" s="6">
        <v>9.2100000000000009</v>
      </c>
      <c r="D101" s="6">
        <v>12.66</v>
      </c>
      <c r="E101" s="6">
        <v>1.75</v>
      </c>
      <c r="F101" s="6">
        <v>0.75</v>
      </c>
      <c r="G101" s="6">
        <v>2.6</v>
      </c>
    </row>
    <row r="102" spans="1:7" x14ac:dyDescent="0.35">
      <c r="A102" s="5" t="s">
        <v>100</v>
      </c>
      <c r="B102" s="6">
        <v>0.3</v>
      </c>
      <c r="C102" s="6">
        <v>11.06</v>
      </c>
      <c r="D102" s="6">
        <v>5.48</v>
      </c>
      <c r="E102" s="6">
        <v>2.5099999999999998</v>
      </c>
      <c r="F102" s="6">
        <v>2.2599999999999998</v>
      </c>
      <c r="G102" s="6">
        <v>1</v>
      </c>
    </row>
    <row r="103" spans="1:7" x14ac:dyDescent="0.35">
      <c r="A103" s="5" t="s">
        <v>101</v>
      </c>
      <c r="B103" s="6">
        <v>5.32</v>
      </c>
      <c r="C103" s="6">
        <v>11.45</v>
      </c>
      <c r="D103" s="6">
        <v>8.81</v>
      </c>
      <c r="E103" s="6">
        <v>1.58</v>
      </c>
      <c r="F103" s="6">
        <v>3.72</v>
      </c>
      <c r="G103" s="6">
        <v>2.79</v>
      </c>
    </row>
    <row r="104" spans="1:7" x14ac:dyDescent="0.35">
      <c r="A104" s="5" t="s">
        <v>102</v>
      </c>
      <c r="B104" s="6">
        <v>0</v>
      </c>
      <c r="C104" s="6">
        <v>4.0999999999999996</v>
      </c>
      <c r="D104" s="6">
        <v>7.83</v>
      </c>
      <c r="E104" s="6">
        <v>6.04</v>
      </c>
      <c r="F104" s="6">
        <v>5.26</v>
      </c>
      <c r="G104" s="6">
        <v>1.73</v>
      </c>
    </row>
  </sheetData>
  <autoFilter ref="A1:G104" xr:uid="{EEDAA8DB-11C6-4A39-ADA5-959DB650DD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Volatility by City and Year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2025-11-12T16:04:37Z</dcterms:created>
  <dcterms:modified xsi:type="dcterms:W3CDTF">2025-11-12T18:32:01Z</dcterms:modified>
</cp:coreProperties>
</file>